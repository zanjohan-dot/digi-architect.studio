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stablishments" sheetId="1" state="visible" r:id="rId3"/>
    <sheet name="Singapore_Postal_Lookup" sheetId="2" state="visible" r:id="rId4"/>
    <sheet name="Lists" sheetId="3" state="visible" r:id="rId5"/>
    <sheet name="Lic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<sst xmlns="http://schemas.openxmlformats.org/spreadsheetml/2006/main" count="539" uniqueCount="296">
  <si>
    <t xml:space="preserve">ID</t>
  </si>
  <si>
    <t xml:space="preserve">Name</t>
  </si>
  <si>
    <t xml:space="preserve">Country</t>
  </si>
  <si>
    <t xml:space="preserve">Address</t>
  </si>
  <si>
    <t xml:space="preserve">Postal Code</t>
  </si>
  <si>
    <t xml:space="preserve">Postal Prefix</t>
  </si>
  <si>
    <t xml:space="preserve">Area / Prefecture Override</t>
  </si>
  <si>
    <t xml:space="preserve">Area / Prefecture</t>
  </si>
  <si>
    <t xml:space="preserve">Postal Sector</t>
  </si>
  <si>
    <t xml:space="preserve">Postal District</t>
  </si>
  <si>
    <t xml:space="preserve">Cuisine</t>
  </si>
  <si>
    <t xml:space="preserve">Establishment Type</t>
  </si>
  <si>
    <t xml:space="preserve">Latitude</t>
  </si>
  <si>
    <t xml:space="preserve">Longitude</t>
  </si>
  <si>
    <t xml:space="preserve">Listing Status</t>
  </si>
  <si>
    <t xml:space="preserve">Basis of Listing</t>
  </si>
  <si>
    <t xml:space="preserve">Halal Certified</t>
  </si>
  <si>
    <t xml:space="preserve">Certification Status</t>
  </si>
  <si>
    <t xml:space="preserve">Certifying Body</t>
  </si>
  <si>
    <t xml:space="preserve">Certificate Expiry</t>
  </si>
  <si>
    <t xml:space="preserve">No Pork Declared</t>
  </si>
  <si>
    <t xml:space="preserve">No Lard Declared</t>
  </si>
  <si>
    <t xml:space="preserve">Halal-Certified Meat</t>
  </si>
  <si>
    <t xml:space="preserve">Alcohol Served</t>
  </si>
  <si>
    <t xml:space="preserve">Alcohol in Menu</t>
  </si>
  <si>
    <t xml:space="preserve">Shared Kitchen</t>
  </si>
  <si>
    <t xml:space="preserve">Shared Utensils</t>
  </si>
  <si>
    <t xml:space="preserve">Shared Fryer</t>
  </si>
  <si>
    <t xml:space="preserve">Shared Grill</t>
  </si>
  <si>
    <t xml:space="preserve">Prayer Space</t>
  </si>
  <si>
    <t xml:space="preserve">Prayer Mat</t>
  </si>
  <si>
    <t xml:space="preserve">Qibla Direction</t>
  </si>
  <si>
    <t xml:space="preserve">Water Facilities</t>
  </si>
  <si>
    <t xml:space="preserve">Declaration Text Override</t>
  </si>
  <si>
    <t xml:space="preserve">Declaration Text</t>
  </si>
  <si>
    <t xml:space="preserve">Cross-Contact Note</t>
  </si>
  <si>
    <t xml:space="preserve">Additional Notes</t>
  </si>
  <si>
    <t xml:space="preserve">Declaration Date</t>
  </si>
  <si>
    <t xml:space="preserve">Last Updated</t>
  </si>
  <si>
    <t xml:space="preserve">Website URL</t>
  </si>
  <si>
    <t xml:space="preserve">Instagram URL</t>
  </si>
  <si>
    <t xml:space="preserve">Location URL</t>
  </si>
  <si>
    <t xml:space="preserve">Directions URL</t>
  </si>
  <si>
    <t xml:space="preserve">Reviews URL</t>
  </si>
  <si>
    <t xml:space="preserve">Image URL</t>
  </si>
  <si>
    <t xml:space="preserve">Is Demo</t>
  </si>
  <si>
    <t xml:space="preserve">Demo Disclaimer</t>
  </si>
  <si>
    <t xml:space="preserve">Data Completeness</t>
  </si>
  <si>
    <t xml:space="preserve">Map Ready</t>
  </si>
  <si>
    <t xml:space="preserve">Record Validation</t>
  </si>
  <si>
    <t xml:space="preserve">Area</t>
  </si>
  <si>
    <t xml:space="preserve">Planning Region</t>
  </si>
  <si>
    <t xml:space="preserve">Notes</t>
  </si>
  <si>
    <t xml:space="preserve">01</t>
  </si>
  <si>
    <t xml:space="preserve">S1</t>
  </si>
  <si>
    <t xml:space="preserve">D1</t>
  </si>
  <si>
    <t xml:space="preserve">City Centre</t>
  </si>
  <si>
    <t xml:space="preserve">Central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</si>
  <si>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</si>
  <si>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</si>
  <si>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</si>
  <si>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</si>
  <si>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</si>
  <si>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</si>
  <si>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S2</t>
  </si>
  <si>
    <t xml:space="preserve">D2</t>
  </si>
  <si>
    <t xml:space="preserve">Tanjong Pagar</t>
  </si>
  <si>
    <t xml:space="preserve">08</t>
  </si>
  <si>
    <t xml:space="preserve">09</t>
  </si>
  <si>
    <t xml:space="preserve">S3</t>
  </si>
  <si>
    <t xml:space="preserve">D3</t>
  </si>
  <si>
    <t xml:space="preserve">Queenstown</t>
  </si>
  <si>
    <t xml:space="preserve">10</t>
  </si>
  <si>
    <t xml:space="preserve">11</t>
  </si>
  <si>
    <t xml:space="preserve">S4</t>
  </si>
  <si>
    <t xml:space="preserve">D4</t>
  </si>
  <si>
    <t xml:space="preserve">Harbourfront</t>
  </si>
  <si>
    <t xml:space="preserve">12</t>
  </si>
  <si>
    <t xml:space="preserve">13</t>
  </si>
  <si>
    <t xml:space="preserve">14</t>
  </si>
  <si>
    <t xml:space="preserve">S5</t>
  </si>
  <si>
    <t xml:space="preserve">D5</t>
  </si>
  <si>
    <t xml:space="preserve">Pasir Panjang</t>
  </si>
  <si>
    <t xml:space="preserve">West</t>
  </si>
  <si>
    <t xml:space="preserve">15</t>
  </si>
  <si>
    <t xml:space="preserve">16</t>
  </si>
  <si>
    <t xml:space="preserve">17</t>
  </si>
  <si>
    <t xml:space="preserve">S6</t>
  </si>
  <si>
    <t xml:space="preserve">D6</t>
  </si>
  <si>
    <t xml:space="preserve">City Hall</t>
  </si>
  <si>
    <t xml:space="preserve">18</t>
  </si>
  <si>
    <t xml:space="preserve">S7</t>
  </si>
  <si>
    <t xml:space="preserve">D7</t>
  </si>
  <si>
    <t xml:space="preserve">Beach Road</t>
  </si>
  <si>
    <t xml:space="preserve">19</t>
  </si>
  <si>
    <t xml:space="preserve">20</t>
  </si>
  <si>
    <t xml:space="preserve">S8</t>
  </si>
  <si>
    <t xml:space="preserve">D8</t>
  </si>
  <si>
    <t xml:space="preserve">Little India</t>
  </si>
  <si>
    <t xml:space="preserve">21</t>
  </si>
  <si>
    <t xml:space="preserve">22</t>
  </si>
  <si>
    <t xml:space="preserve">S9</t>
  </si>
  <si>
    <t xml:space="preserve">D9</t>
  </si>
  <si>
    <t xml:space="preserve">Orchard</t>
  </si>
  <si>
    <t xml:space="preserve">23</t>
  </si>
  <si>
    <t xml:space="preserve">24</t>
  </si>
  <si>
    <t xml:space="preserve">S10</t>
  </si>
  <si>
    <t xml:space="preserve">D10</t>
  </si>
  <si>
    <t xml:space="preserve">Bukit Timah</t>
  </si>
  <si>
    <t xml:space="preserve">25</t>
  </si>
  <si>
    <t xml:space="preserve">26</t>
  </si>
  <si>
    <t xml:space="preserve">27</t>
  </si>
  <si>
    <t xml:space="preserve">Holland Village</t>
  </si>
  <si>
    <t xml:space="preserve">28</t>
  </si>
  <si>
    <t xml:space="preserve">S11</t>
  </si>
  <si>
    <t xml:space="preserve">D11</t>
  </si>
  <si>
    <t xml:space="preserve">Novena</t>
  </si>
  <si>
    <t xml:space="preserve">29</t>
  </si>
  <si>
    <t xml:space="preserve">30</t>
  </si>
  <si>
    <t xml:space="preserve">Thomson</t>
  </si>
  <si>
    <t xml:space="preserve">31</t>
  </si>
  <si>
    <t xml:space="preserve">S12</t>
  </si>
  <si>
    <t xml:space="preserve">D12</t>
  </si>
  <si>
    <t xml:space="preserve">Balestier</t>
  </si>
  <si>
    <t xml:space="preserve">32</t>
  </si>
  <si>
    <t xml:space="preserve">Toa Payoh</t>
  </si>
  <si>
    <t xml:space="preserve">33</t>
  </si>
  <si>
    <t xml:space="preserve">34</t>
  </si>
  <si>
    <t xml:space="preserve">S13</t>
  </si>
  <si>
    <t xml:space="preserve">D13</t>
  </si>
  <si>
    <t xml:space="preserve">Macpherson</t>
  </si>
  <si>
    <t xml:space="preserve">35</t>
  </si>
  <si>
    <t xml:space="preserve">36</t>
  </si>
  <si>
    <t xml:space="preserve">Braddell</t>
  </si>
  <si>
    <t xml:space="preserve">37</t>
  </si>
  <si>
    <t xml:space="preserve">38</t>
  </si>
  <si>
    <t xml:space="preserve">S14</t>
  </si>
  <si>
    <t xml:space="preserve">D14</t>
  </si>
  <si>
    <t xml:space="preserve">Geylang</t>
  </si>
  <si>
    <t xml:space="preserve">East</t>
  </si>
  <si>
    <t xml:space="preserve">39</t>
  </si>
  <si>
    <t xml:space="preserve">40</t>
  </si>
  <si>
    <t xml:space="preserve">41</t>
  </si>
  <si>
    <t xml:space="preserve">Eunos</t>
  </si>
  <si>
    <t xml:space="preserve">42</t>
  </si>
  <si>
    <t xml:space="preserve">S15</t>
  </si>
  <si>
    <t xml:space="preserve">D15</t>
  </si>
  <si>
    <t xml:space="preserve">Katong</t>
  </si>
  <si>
    <t xml:space="preserve">43</t>
  </si>
  <si>
    <t xml:space="preserve">44</t>
  </si>
  <si>
    <t xml:space="preserve">45</t>
  </si>
  <si>
    <t xml:space="preserve">Marine Parade</t>
  </si>
  <si>
    <t xml:space="preserve">46</t>
  </si>
  <si>
    <t xml:space="preserve">S16</t>
  </si>
  <si>
    <t xml:space="preserve">D16</t>
  </si>
  <si>
    <t xml:space="preserve">Bedok</t>
  </si>
  <si>
    <t xml:space="preserve">47</t>
  </si>
  <si>
    <t xml:space="preserve">48</t>
  </si>
  <si>
    <t xml:space="preserve">49</t>
  </si>
  <si>
    <t xml:space="preserve">S17</t>
  </si>
  <si>
    <t xml:space="preserve">D17</t>
  </si>
  <si>
    <t xml:space="preserve">Changi</t>
  </si>
  <si>
    <t xml:space="preserve">50</t>
  </si>
  <si>
    <t xml:space="preserve">51</t>
  </si>
  <si>
    <t xml:space="preserve">S18</t>
  </si>
  <si>
    <t xml:space="preserve">D18</t>
  </si>
  <si>
    <t xml:space="preserve">Tampines</t>
  </si>
  <si>
    <t xml:space="preserve">52</t>
  </si>
  <si>
    <t xml:space="preserve">53</t>
  </si>
  <si>
    <t xml:space="preserve">S19</t>
  </si>
  <si>
    <t xml:space="preserve">D19</t>
  </si>
  <si>
    <t xml:space="preserve">Hougang</t>
  </si>
  <si>
    <t xml:space="preserve">North-East</t>
  </si>
  <si>
    <t xml:space="preserve">54</t>
  </si>
  <si>
    <t xml:space="preserve">55</t>
  </si>
  <si>
    <t xml:space="preserve">Punggol</t>
  </si>
  <si>
    <t xml:space="preserve">56</t>
  </si>
  <si>
    <t xml:space="preserve">S20</t>
  </si>
  <si>
    <t xml:space="preserve">D20</t>
  </si>
  <si>
    <t xml:space="preserve">Ang Mo Kio</t>
  </si>
  <si>
    <t xml:space="preserve">North</t>
  </si>
  <si>
    <t xml:space="preserve">57</t>
  </si>
  <si>
    <t xml:space="preserve">58</t>
  </si>
  <si>
    <t xml:space="preserve">S21</t>
  </si>
  <si>
    <t xml:space="preserve">D21</t>
  </si>
  <si>
    <t xml:space="preserve">Clementi</t>
  </si>
  <si>
    <t xml:space="preserve">59</t>
  </si>
  <si>
    <t xml:space="preserve">West Coast</t>
  </si>
  <si>
    <t xml:space="preserve">60</t>
  </si>
  <si>
    <t xml:space="preserve">S22</t>
  </si>
  <si>
    <t xml:space="preserve">D22</t>
  </si>
  <si>
    <t xml:space="preserve">Jurong East</t>
  </si>
  <si>
    <t xml:space="preserve">61</t>
  </si>
  <si>
    <t xml:space="preserve">Jurong West</t>
  </si>
  <si>
    <t xml:space="preserve">62</t>
  </si>
  <si>
    <t xml:space="preserve">Jurong</t>
  </si>
  <si>
    <t xml:space="preserve">63</t>
  </si>
  <si>
    <t xml:space="preserve">64</t>
  </si>
  <si>
    <t xml:space="preserve">65</t>
  </si>
  <si>
    <t xml:space="preserve">S23</t>
  </si>
  <si>
    <t xml:space="preserve">D23</t>
  </si>
  <si>
    <t xml:space="preserve">Choa Chu Kang</t>
  </si>
  <si>
    <t xml:space="preserve">66</t>
  </si>
  <si>
    <t xml:space="preserve">67</t>
  </si>
  <si>
    <t xml:space="preserve">Bukit Panjang</t>
  </si>
  <si>
    <t xml:space="preserve">68</t>
  </si>
  <si>
    <t xml:space="preserve">69</t>
  </si>
  <si>
    <t xml:space="preserve">S24</t>
  </si>
  <si>
    <t xml:space="preserve">D24</t>
  </si>
  <si>
    <t xml:space="preserve">Lim Chu Kang</t>
  </si>
  <si>
    <t xml:space="preserve">70</t>
  </si>
  <si>
    <t xml:space="preserve">Tengah</t>
  </si>
  <si>
    <t xml:space="preserve">71</t>
  </si>
  <si>
    <t xml:space="preserve">72</t>
  </si>
  <si>
    <t xml:space="preserve">S25</t>
  </si>
  <si>
    <t xml:space="preserve">D25</t>
  </si>
  <si>
    <t xml:space="preserve">Woodlands</t>
  </si>
  <si>
    <t xml:space="preserve">73</t>
  </si>
  <si>
    <t xml:space="preserve">74</t>
  </si>
  <si>
    <t xml:space="preserve">S26</t>
  </si>
  <si>
    <t xml:space="preserve">D26</t>
  </si>
  <si>
    <t xml:space="preserve">Upper Thomson</t>
  </si>
  <si>
    <t xml:space="preserve">75</t>
  </si>
  <si>
    <t xml:space="preserve">S27</t>
  </si>
  <si>
    <t xml:space="preserve">D27</t>
  </si>
  <si>
    <t xml:space="preserve">Yishun</t>
  </si>
  <si>
    <t xml:space="preserve">76</t>
  </si>
  <si>
    <t xml:space="preserve">Sembawang</t>
  </si>
  <si>
    <t xml:space="preserve">77</t>
  </si>
  <si>
    <t xml:space="preserve">78</t>
  </si>
  <si>
    <t xml:space="preserve">Springleaf</t>
  </si>
  <si>
    <t xml:space="preserve">79</t>
  </si>
  <si>
    <t xml:space="preserve">S28</t>
  </si>
  <si>
    <t xml:space="preserve">D28</t>
  </si>
  <si>
    <t xml:space="preserve">Seletar</t>
  </si>
  <si>
    <t xml:space="preserve">80</t>
  </si>
  <si>
    <t xml:space="preserve">81</t>
  </si>
  <si>
    <t xml:space="preserve">Changi Airport</t>
  </si>
  <si>
    <t xml:space="preserve">82</t>
  </si>
  <si>
    <t xml:space="preserve">83</t>
  </si>
  <si>
    <t xml:space="preserve">Tuas</t>
  </si>
  <si>
    <t xml:space="preserve">Declaration Value</t>
  </si>
  <si>
    <t xml:space="preserve">Singapore</t>
  </si>
  <si>
    <t xml:space="preserve">Café</t>
  </si>
  <si>
    <t xml:space="preserve">Restaurant</t>
  </si>
  <si>
    <t xml:space="preserve">Self-declared Muslim-friendly</t>
  </si>
  <si>
    <t xml:space="preserve">TRUE</t>
  </si>
  <si>
    <t xml:space="preserve">Muis (Singapore)</t>
  </si>
  <si>
    <t xml:space="preserve">Ready</t>
  </si>
  <si>
    <t xml:space="preserve">Japan</t>
  </si>
  <si>
    <t xml:space="preserve">Café / Brunch</t>
  </si>
  <si>
    <t xml:space="preserve">Community suggested — not verified</t>
  </si>
  <si>
    <t xml:space="preserve">FALSE</t>
  </si>
  <si>
    <t xml:space="preserve">JAKIM (Malaysia)</t>
  </si>
  <si>
    <t xml:space="preserve">Coordinates required</t>
  </si>
  <si>
    <t xml:space="preserve">Malaysia</t>
  </si>
  <si>
    <t xml:space="preserve">Japanese</t>
  </si>
  <si>
    <t xml:space="preserve">Bar &amp; Grill</t>
  </si>
  <si>
    <t xml:space="preserve">Halal certified</t>
  </si>
  <si>
    <t xml:space="preserve">Not Stated</t>
  </si>
  <si>
    <t xml:space="preserve">MUI (Indonesia)</t>
  </si>
  <si>
    <t xml:space="preserve">Indonesia</t>
  </si>
  <si>
    <t xml:space="preserve">Korean</t>
  </si>
  <si>
    <t xml:space="preserve">Bistro</t>
  </si>
  <si>
    <t xml:space="preserve">Pending verification</t>
  </si>
  <si>
    <t xml:space="preserve">Other</t>
  </si>
  <si>
    <t xml:space="preserve">United Kingdom</t>
  </si>
  <si>
    <t xml:space="preserve">Western</t>
  </si>
  <si>
    <t xml:space="preserve">Casual Dining</t>
  </si>
  <si>
    <t xml:space="preserve">Listed — Declaration pending</t>
  </si>
  <si>
    <t xml:space="preserve">United States</t>
  </si>
  <si>
    <t xml:space="preserve">Chinese</t>
  </si>
  <si>
    <t xml:space="preserve">Food Court</t>
  </si>
  <si>
    <t xml:space="preserve">Australia</t>
  </si>
  <si>
    <t xml:space="preserve">Malay</t>
  </si>
  <si>
    <t xml:space="preserve">Hawker</t>
  </si>
  <si>
    <t xml:space="preserve">Indian</t>
  </si>
  <si>
    <t xml:space="preserve">Hotel Restaurant</t>
  </si>
  <si>
    <t xml:space="preserve">Indonesian</t>
  </si>
  <si>
    <t xml:space="preserve">Bakery</t>
  </si>
  <si>
    <t xml:space="preserve">Thai</t>
  </si>
  <si>
    <t xml:space="preserve">Caterer</t>
  </si>
  <si>
    <t xml:space="preserve">Vietnamese</t>
  </si>
  <si>
    <t xml:space="preserve">Mediterranean</t>
  </si>
  <si>
    <t xml:space="preserve">Fusion</t>
  </si>
  <si>
    <t xml:space="preserve">International</t>
  </si>
  <si>
    <t xml:space="preserve">Local / Hawker</t>
  </si>
  <si>
    <t xml:space="preserve">Middle Eastern</t>
  </si>
  <si>
    <t xml:space="preserve">Licence</t>
  </si>
  <si>
    <t xml:space="preserve">Open Database Licence (ODbL) 1.0 — https://opendatacommons.org/licenses/odbl/1-0/</t>
  </si>
  <si>
    <t xml:space="preserve">Attribution</t>
  </si>
  <si>
    <t xml:space="preserve">Contains information from OpenStreetMap (© OpenStreetMap contributors), available under the ODbL. https://www.openstreetmap.org/copyright</t>
  </si>
  <si>
    <t xml:space="preserve">Scope</t>
  </si>
  <si>
    <t xml:space="preserve">This file holds community-suggested listings derived from OpenStreetMap. It is a separate database from muslim-friendly-establishments.xlsx (establishment declarations and verified certifications), which is not covered by this licence.</t>
  </si>
  <si>
    <t xml:space="preserve">Status</t>
  </si>
  <si>
    <t xml:space="preserve">Community-suggested listings are NOT verified. An OpenStreetMap halal tag is not evidence of halal certification.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</si>
</sst>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Calibri"/>
      <family val="0"/>
      <charset val="1"/>
    </font>
    <font>
      <sz val="9"/>
      <color rgb="FF0A0F1E"/>
      <name val="Calibri"/>
      <family val="0"/>
      <charset val="1"/>
    </font>
    <font>
      <sz val="9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5C3A"/>
        <bgColor rgb="FF1F618D"/>
      </patternFill>
    </fill>
    <fill>
      <patternFill patternType="solid">
        <fgColor rgb="FF0D3B6E"/>
        <bgColor rgb="FF1A5C3A"/>
      </patternFill>
    </fill>
    <fill>
      <patternFill patternType="solid">
        <fgColor rgb="FF1F618D"/>
        <bgColor rgb="FF1A5C3A"/>
      </patternFill>
    </fill>
    <fill>
      <patternFill patternType="solid">
        <fgColor rgb="FF5D6D7E"/>
        <bgColor rgb="FF808080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2F3F4"/>
        <bgColor rgb="FFEDE9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A5C3A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0A0F1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D3B6E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1F618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5D6D7E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ont>
        <name val="Calibri"/>
        <charset val="1"/>
        <family val="0"/>
        <b val="1"/>
        <color rgb="FF1A5C3A"/>
        <sz val="9"/>
      </font>
      <fill>
        <patternFill>
          <bgColor rgb="FFD5F5E3"/>
        </patternFill>
      </fill>
    </dxf>
    <dxf>
      <font>
        <name val="Calibri"/>
        <charset val="1"/>
        <family val="0"/>
        <b val="1"/>
        <color rgb="FF5B21B6"/>
        <sz val="9"/>
      </font>
      <fill>
        <patternFill>
          <bgColor rgb="FFEDE9FE"/>
        </patternFill>
      </fill>
    </dxf>
    <dxf>
      <font>
        <name val="Calibri"/>
        <charset val="1"/>
        <family val="0"/>
        <color rgb="FF92400E"/>
        <sz val="9"/>
      </font>
      <fill>
        <patternFill>
          <bgColor rgb="FFFEF3C7"/>
        </patternFill>
      </fill>
    </dxf>
    <dxf>
      <font>
        <name val="Calibri"/>
        <charset val="1"/>
        <family val="0"/>
        <color rgb="FF9B1C1C"/>
        <sz val="9"/>
      </font>
      <fill>
        <patternFill>
          <bgColor rgb="FFFDE8E8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1C1C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6EAF8"/>
      <rgbColor rgb="FF660066"/>
      <rgbColor rgb="FFFF8080"/>
      <rgbColor rgb="FF1F618D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0D3B6E"/>
      <rgbColor rgb="FF339966"/>
      <rgbColor rgb="FF0A0F1E"/>
      <rgbColor rgb="FF333300"/>
      <rgbColor rgb="FF92400E"/>
      <rgbColor rgb="FF993366"/>
      <rgbColor rgb="FF5B21B6"/>
      <rgbColor rgb="FF1A5C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Establishments" displayName="tblEstablishments" ref="A1:AX2" headerRowCount="1" totalsRowCount="0" totalsRowShown="0">
  <autoFilter ref="A1:AX2"/>
  <tableColumns count="50">
    <tableColumn id="1" name="ID"/>
    <tableColumn id="2" name="Name"/>
    <tableColumn id="3" name="Country"/>
    <tableColumn id="4" name="Address"/>
    <tableColumn id="5" name="Postal Code"/>
    <tableColumn id="6" name="Postal Prefix"/>
    <tableColumn id="7" name="Area / Prefecture Override"/>
    <tableColumn id="8" name="Area / Prefecture"/>
    <tableColumn id="9" name="Postal Sector"/>
    <tableColumn id="10" name="Postal District"/>
    <tableColumn id="11" name="Cuisine"/>
    <tableColumn id="12" name="Establishment Type"/>
    <tableColumn id="13" name="Latitude"/>
    <tableColumn id="14" name="Longitude"/>
    <tableColumn id="15" name="Listing Status"/>
    <tableColumn id="16" name="Basis of Listing"/>
    <tableColumn id="17" name="Halal Certified"/>
    <tableColumn id="18" name="Certification Status"/>
    <tableColumn id="19" name="Certifying Body"/>
    <tableColumn id="20" name="Certificate Expiry"/>
    <tableColumn id="21" name="No Pork Declared"/>
    <tableColumn id="22" name="No Lard Declared"/>
    <tableColumn id="23" name="Halal-Certified Meat"/>
    <tableColumn id="24" name="Alcohol Served"/>
    <tableColumn id="25" name="Alcohol in Menu"/>
    <tableColumn id="26" name="Shared Kitchen"/>
    <tableColumn id="27" name="Shared Utensils"/>
    <tableColumn id="28" name="Shared Fryer"/>
    <tableColumn id="29" name="Shared Grill"/>
    <tableColumn id="30" name="Prayer Space"/>
    <tableColumn id="31" name="Prayer Mat"/>
    <tableColumn id="32" name="Qibla Direction"/>
    <tableColumn id="33" name="Water Facilities"/>
    <tableColumn id="34" name="Declaration Text Override"/>
    <tableColumn id="35" name="Declaration Text"/>
    <tableColumn id="36" name="Cross-Contact Note"/>
    <tableColumn id="37" name="Additional Notes"/>
    <tableColumn id="38" name="Declaration Date"/>
    <tableColumn id="39" name="Last Updated"/>
    <tableColumn id="40" name="Website URL"/>
    <tableColumn id="41" name="Instagram URL"/>
    <tableColumn id="42" name="Location URL"/>
    <tableColumn id="43" name="Directions URL"/>
    <tableColumn id="44" name="Reviews URL"/>
    <tableColumn id="45" name="Image URL"/>
    <tableColumn id="46" name="Is Demo"/>
    <tableColumn id="47" name="Demo Disclaimer"/>
    <tableColumn id="48" name="Data Completeness"/>
    <tableColumn id="49" name="Map Ready"/>
    <tableColumn id="50" name="Record Validation"/>
  </tableColumns>
</table>
</file>

<file path=xl/tables/table2.xml><?xml version="1.0" encoding="utf-8"?>
<table xmlns="http://schemas.openxmlformats.org/spreadsheetml/2006/main" id="2" name="tblSingaporePostal" displayName="tblSingaporePostal" ref="A1:F84" headerRowCount="1" totalsRowCount="0" totalsRowShown="0">
  <autoFilter ref="A1:F84"/>
  <tableColumns count="6">
    <tableColumn id="1" name="Postal Prefix"/>
    <tableColumn id="2" name="Postal Sector"/>
    <tableColumn id="3" name="Postal District"/>
    <tableColumn id="4" name="Area"/>
    <tableColumn id="5" name="Planning Region"/>
    <tableColumn id="6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10" activeCellId="0" sqref="B10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3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20"/>
    <col collapsed="false" customWidth="true" hidden="false" outlineLevel="0" max="14" min="13" style="1" width="12"/>
    <col collapsed="false" customWidth="true" hidden="false" outlineLevel="0" max="15" min="15" style="1" width="28"/>
    <col collapsed="false" customWidth="true" hidden="false" outlineLevel="0" max="16" min="16" style="1" width="32"/>
    <col collapsed="false" customWidth="true" hidden="false" outlineLevel="0" max="17" min="17" style="1" width="14"/>
    <col collapsed="false" customWidth="true" hidden="false" outlineLevel="0" max="18" min="18" style="1" width="34"/>
    <col collapsed="false" customWidth="true" hidden="false" outlineLevel="0" max="19" min="19" style="1" width="20"/>
    <col collapsed="false" customWidth="true" hidden="false" outlineLevel="0" max="22" min="20" style="1" width="16"/>
    <col collapsed="false" customWidth="true" hidden="false" outlineLevel="0" max="23" min="23" style="1" width="18"/>
    <col collapsed="false" customWidth="true" hidden="false" outlineLevel="0" max="25" min="24" style="1" width="16"/>
    <col collapsed="false" customWidth="true" hidden="false" outlineLevel="0" max="26" min="26" style="1" width="14"/>
    <col collapsed="false" customWidth="true" hidden="false" outlineLevel="0" max="27" min="27" style="1" width="16"/>
    <col collapsed="false" customWidth="true" hidden="false" outlineLevel="0" max="31" min="28" style="1" width="14"/>
    <col collapsed="false" customWidth="true" hidden="false" outlineLevel="0" max="33" min="32" style="1" width="16"/>
    <col collapsed="false" customWidth="true" hidden="false" outlineLevel="0" max="34" min="34" style="1" width="46"/>
    <col collapsed="false" customWidth="true" hidden="false" outlineLevel="0" max="35" min="35" style="1" width="60"/>
    <col collapsed="false" customWidth="true" hidden="false" outlineLevel="0" max="37" min="36" style="1" width="46"/>
    <col collapsed="false" customWidth="true" hidden="false" outlineLevel="0" max="39" min="38" style="1" width="16"/>
    <col collapsed="false" customWidth="true" hidden="false" outlineLevel="0" max="45" min="40" style="1" width="32"/>
    <col collapsed="false" customWidth="true" hidden="false" outlineLevel="0" max="46" min="46" style="1" width="10"/>
    <col collapsed="false" customWidth="true" hidden="false" outlineLevel="0" max="47" min="47" style="1" width="60"/>
    <col collapsed="false" customWidth="true" hidden="false" outlineLevel="0" max="48" min="48" style="1" width="22"/>
    <col collapsed="false" customWidth="true" hidden="false" outlineLevel="0" max="49" min="49" style="1" width="18"/>
    <col collapsed="false" customWidth="true" hidden="false" outlineLevel="0" max="50" min="50" style="1" width="42"/>
  </cols>
  <sheetData>
    <row r="1" customFormat="false" ht="48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2" t="s">
        <v>46</v>
      </c>
      <c r="AV1" s="2" t="s">
        <v>47</v>
      </c>
      <c r="AW1" s="2" t="s">
        <v>48</v>
      </c>
      <c r="AX1" s="5" t="s">
        <v>49</v>
      </c>
    </row>
    <row r="2" customFormat="false" ht="60" hidden="false" customHeight="true" outlineLevel="0" collapsed="false">
      <c r="A2" s="6"/>
      <c r="B2" s="7"/>
      <c r="C2" s="7"/>
      <c r="D2" s="7"/>
      <c r="E2" s="8"/>
      <c r="F2" s="6" t="str">
        <f aca="false">IF(C2="Singapore",IF(LEN(TEXT(E2,"000000"))=6,LEFT(TEXT(E2,"000000"),2),""),"")</f>
        <v/>
      </c>
      <c r="G2" s="8"/>
      <c r="H2" s="6"/>
      <c r="I2" s="6"/>
      <c r="J2" s="6"/>
      <c r="K2" s="8"/>
      <c r="L2" s="8"/>
      <c r="M2" s="8"/>
      <c r="N2" s="8"/>
      <c r="O2" s="8"/>
      <c r="P2" s="8"/>
      <c r="Q2" s="8"/>
      <c r="R2" s="6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6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6" t="str">
        <f aca="false">IF(OR(AT2=TRUE(),AT2="TRUE"),"This sample listing is provided solely to demonstrate the directory interface. It does not represent a live declaration, verification, endorsement or participating establishment.","")</f>
        <v/>
      </c>
      <c r="AV2" s="6" t="str">
        <f aca="false">IF(OR(A2="",B2="",C2="",D2=""),"Missing required fields",IF(NOT(AND(ISNUMBER(M2),ISNUMBER(N2))),"Missing coordinates","Complete"))</f>
        <v>Missing required fields</v>
      </c>
      <c r="AW2" s="6" t="str">
        <f aca="false">IF(AND(ISNUMBER(M2),ISNUMBER(N2)),"Ready","Coordinates required")</f>
        <v>Coordinates required</v>
      </c>
      <c r="AX2" s="9" t="str">
        <f aca="false">IF(OR(AT2=TRUE(),AT2="TRUE"),"Demo record",IF(A2="","Missing ID",IF(B2="","Missing name",IF(NOT(AND(ISNUMBER(M2),ISNUMBER(N2))),"Coordinates required","Ready for publication"))))</f>
        <v>Missing ID</v>
      </c>
    </row>
    <row r="3" customFormat="false" ht="60" hidden="false" customHeight="true" outlineLevel="0" collapsed="false">
      <c r="A3" s="6"/>
      <c r="B3" s="7"/>
      <c r="C3" s="7"/>
      <c r="D3" s="7"/>
      <c r="E3" s="8"/>
      <c r="F3" s="6"/>
      <c r="G3" s="8"/>
      <c r="H3" s="6"/>
      <c r="I3" s="6"/>
      <c r="J3" s="6"/>
      <c r="K3" s="8"/>
      <c r="L3" s="8"/>
      <c r="M3" s="8"/>
      <c r="N3" s="8"/>
      <c r="O3" s="8"/>
      <c r="P3" s="8"/>
      <c r="Q3" s="8"/>
      <c r="R3" s="6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6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6"/>
      <c r="AV3" s="6"/>
      <c r="AW3" s="6"/>
      <c r="AX3" s="9"/>
    </row>
    <row r="4" customFormat="false" ht="60" hidden="false" customHeight="true" outlineLevel="0" collapsed="false">
      <c r="A4" s="6"/>
      <c r="B4" s="7"/>
      <c r="C4" s="7"/>
      <c r="D4" s="7"/>
      <c r="E4" s="8"/>
      <c r="F4" s="6"/>
      <c r="G4" s="8"/>
      <c r="H4" s="6"/>
      <c r="I4" s="6"/>
      <c r="J4" s="6"/>
      <c r="K4" s="8"/>
      <c r="L4" s="8"/>
      <c r="M4" s="8"/>
      <c r="N4" s="8"/>
      <c r="O4" s="8"/>
      <c r="P4" s="8"/>
      <c r="Q4" s="8"/>
      <c r="R4" s="6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6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6"/>
      <c r="AV4" s="6"/>
      <c r="AW4" s="6"/>
      <c r="AX4" s="9"/>
    </row>
    <row r="5" customFormat="false" ht="60" hidden="false" customHeight="true" outlineLevel="0" collapsed="false">
      <c r="A5" s="6"/>
      <c r="B5" s="7"/>
      <c r="C5" s="7"/>
      <c r="D5" s="7"/>
      <c r="E5" s="8"/>
      <c r="F5" s="6"/>
      <c r="G5" s="8"/>
      <c r="H5" s="6"/>
      <c r="I5" s="6"/>
      <c r="J5" s="6"/>
      <c r="K5" s="8"/>
      <c r="L5" s="8"/>
      <c r="M5" s="8"/>
      <c r="N5" s="8"/>
      <c r="O5" s="8"/>
      <c r="P5" s="8"/>
      <c r="Q5" s="8"/>
      <c r="R5" s="6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6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6"/>
      <c r="AV5" s="6"/>
      <c r="AW5" s="6"/>
      <c r="AX5" s="9"/>
    </row>
    <row r="6" customFormat="false" ht="60" hidden="false" customHeight="true" outlineLevel="0" collapsed="false">
      <c r="A6" s="6"/>
      <c r="B6" s="7"/>
      <c r="C6" s="7"/>
      <c r="D6" s="7"/>
      <c r="E6" s="8"/>
      <c r="F6" s="6"/>
      <c r="G6" s="8"/>
      <c r="H6" s="6"/>
      <c r="I6" s="6"/>
      <c r="J6" s="6"/>
      <c r="K6" s="8"/>
      <c r="L6" s="8"/>
      <c r="M6" s="8"/>
      <c r="N6" s="8"/>
      <c r="O6" s="8"/>
      <c r="P6" s="8"/>
      <c r="Q6" s="8"/>
      <c r="R6" s="6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6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6"/>
      <c r="AV6" s="6"/>
      <c r="AW6" s="6"/>
      <c r="AX6" s="9"/>
    </row>
    <row r="7" customFormat="false" ht="60" hidden="false" customHeight="true" outlineLevel="0" collapsed="false">
      <c r="A7" s="6"/>
      <c r="B7" s="7"/>
      <c r="C7" s="7"/>
      <c r="D7" s="7"/>
      <c r="E7" s="8"/>
      <c r="F7" s="6"/>
      <c r="G7" s="8"/>
      <c r="H7" s="6"/>
      <c r="I7" s="6"/>
      <c r="J7" s="6"/>
      <c r="K7" s="8"/>
      <c r="L7" s="8"/>
      <c r="M7" s="8"/>
      <c r="N7" s="8"/>
      <c r="O7" s="8"/>
      <c r="P7" s="8"/>
      <c r="Q7" s="8"/>
      <c r="R7" s="6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6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6"/>
      <c r="AV7" s="6"/>
      <c r="AW7" s="6"/>
      <c r="AX7" s="9"/>
    </row>
    <row r="8" customFormat="false" ht="60" hidden="false" customHeight="true" outlineLevel="0" collapsed="false">
      <c r="A8" s="6"/>
      <c r="B8" s="7"/>
      <c r="C8" s="7"/>
      <c r="D8" s="7"/>
      <c r="E8" s="8"/>
      <c r="F8" s="6"/>
      <c r="G8" s="8"/>
      <c r="H8" s="6"/>
      <c r="I8" s="6"/>
      <c r="J8" s="6"/>
      <c r="K8" s="8"/>
      <c r="L8" s="8"/>
      <c r="M8" s="8"/>
      <c r="N8" s="8"/>
      <c r="O8" s="8"/>
      <c r="P8" s="8"/>
      <c r="Q8" s="8"/>
      <c r="R8" s="6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6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6"/>
      <c r="AV8" s="6"/>
      <c r="AW8" s="6"/>
      <c r="AX8" s="9"/>
    </row>
    <row r="9" customFormat="false" ht="60" hidden="false" customHeight="true" outlineLevel="0" collapsed="false">
      <c r="A9" s="6"/>
      <c r="B9" s="7"/>
      <c r="C9" s="7"/>
      <c r="D9" s="7"/>
      <c r="E9" s="8"/>
      <c r="F9" s="6"/>
      <c r="G9" s="8"/>
      <c r="H9" s="6"/>
      <c r="I9" s="6"/>
      <c r="J9" s="6"/>
      <c r="K9" s="8"/>
      <c r="L9" s="8"/>
      <c r="M9" s="8"/>
      <c r="N9" s="8"/>
      <c r="O9" s="8"/>
      <c r="P9" s="8"/>
      <c r="Q9" s="8"/>
      <c r="R9" s="6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6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6"/>
      <c r="AV9" s="6"/>
      <c r="AW9" s="6"/>
      <c r="AX9" s="9"/>
    </row>
  </sheetData>
  <conditionalFormatting sqref="AX2:AX10000">
    <cfRule type="expression" priority="2" aboveAverage="0" equalAverage="0" bottom="0" percent="0" rank="0" text="" dxfId="12">
      <formula>$AX2="Ready for publication"</formula>
    </cfRule>
    <cfRule type="expression" priority="3" aboveAverage="0" equalAverage="0" bottom="0" percent="0" rank="0" text="" dxfId="13">
      <formula>$AX2="Demo record"</formula>
    </cfRule>
    <cfRule type="expression" priority="4" aboveAverage="0" equalAverage="0" bottom="0" percent="0" rank="0" text="" dxfId="14">
      <formula>NOT(ISERROR(SEARCH("required",$AX2)))</formula>
    </cfRule>
    <cfRule type="expression" priority="5" aboveAverage="0" equalAverage="0" bottom="0" percent="0" rank="0" text="" dxfId="15">
      <formula>NOT(ISERROR(SEARCH("Invalid",$AX2)))</formula>
    </cfRule>
  </conditionalFormatting>
  <conditionalFormatting sqref="AV2:AV10000">
    <cfRule type="expression" priority="6" aboveAverage="0" equalAverage="0" bottom="0" percent="0" rank="0" text="" dxfId="12">
      <formula>$AV2="Complete"</formula>
    </cfRule>
    <cfRule type="expression" priority="7" aboveAverage="0" equalAverage="0" bottom="0" percent="0" rank="0" text="" dxfId="14">
      <formula>$AV2&lt;&gt;"Complete"</formula>
    </cfRule>
  </conditionalFormatting>
  <dataValidations count="6">
    <dataValidation allowBlank="false" error="Select a value." errorStyle="stop" errorTitle="Invalid" operator="between" showDropDown="false" showErrorMessage="true" showInputMessage="false" sqref="C2:C1009" type="list">
      <formula1>"Singapore,Japan,Malaysia,Indonesia,United Kingdom,United States,Australia,Other"</formula1>
      <formula2>0</formula2>
    </dataValidation>
    <dataValidation allowBlank="false" error="Select a value." errorStyle="stop" errorTitle="Invalid" operator="between" showDropDown="false" showErrorMessage="true" showInputMessage="false" sqref="Q2:Q1009 U2:AG1009 AT2:AT1009" type="list">
      <formula1>"TRUE,FALSE,Not Stated"</formula1>
      <formula2>0</formula2>
    </dataValidation>
    <dataValidation allowBlank="false" error="Select a value." errorStyle="stop" errorTitle="Invalid" operator="between" showDropDown="false" showErrorMessage="true" showInputMessage="false" sqref="O2:O1009" type="list">
      <formula1>"Self-declared Muslim-friendly,Community suggested — not verified,Halal certified,Pending verification"</formula1>
      <formula2>0</formula2>
    </dataValidation>
    <dataValidation allowBlank="false" error="Select a value." errorStyle="stop" errorTitle="Invalid" operator="between" showDropDown="false" showErrorMessage="true" showInputMessage="false" sqref="S2:S1009" type="list">
      <formula1>"Muis (Singapore),JAKIM (Malaysia),MUI (Indonesia),Other"</formula1>
      <formula2>0</formula2>
    </dataValidation>
    <dataValidation allowBlank="false" error="Select a value." errorStyle="stop" errorTitle="Invalid" operator="between" showDropDown="false" showErrorMessage="true" showInputMessage="false" sqref="K2:K1009" type="list">
      <formula1>"Café,Café / Brunch,Japanese,Korean,Western,Chinese,Malay,Indian,Indonesian,Thai,Vietnamese,Mediterranean,Fusion,International,Local / Hawker,Middle Eastern,Other"</formula1>
      <formula2>0</formula2>
    </dataValidation>
    <dataValidation allowBlank="false" error="Select a value." errorStyle="stop" errorTitle="Invalid" operator="between" showDropDown="false" showErrorMessage="true" showInputMessage="false" sqref="L2:L1009" type="list">
      <formula1>"Restaurant,Café,Bar &amp; Grill,Bistro,Casual Dining,Food Court,Hawker,Hotel Restaurant,Bakery,Caterer,Other"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14.25" hidden="false" customHeight="true" outlineLevel="0" collapsed="false">
      <c r="A1" s="10" t="s">
        <v>5</v>
      </c>
      <c r="B1" s="10" t="s">
        <v>8</v>
      </c>
      <c r="C1" s="10" t="s">
        <v>9</v>
      </c>
      <c r="D1" s="10" t="s">
        <v>50</v>
      </c>
      <c r="E1" s="10" t="s">
        <v>51</v>
      </c>
      <c r="F1" s="10" t="s">
        <v>52</v>
      </c>
    </row>
    <row r="2" customFormat="false" ht="14.25" hidden="false" customHeight="true" outlineLevel="0" collapsed="false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57</v>
      </c>
    </row>
    <row r="3" customFormat="false" ht="14.25" hidden="false" customHeight="true" outlineLevel="0" collapsed="false">
      <c r="A3" s="11" t="s">
        <v>58</v>
      </c>
      <c r="B3" s="11" t="s">
        <v>54</v>
      </c>
      <c r="C3" s="11" t="s">
        <v>55</v>
      </c>
      <c r="D3" s="11" t="s">
        <v>56</v>
      </c>
      <c r="E3" s="11" t="s">
        <v>57</v>
      </c>
    </row>
    <row r="4" customFormat="false" ht="14.25" hidden="false" customHeight="true" outlineLevel="0" collapsed="false">
      <c r="A4" s="11" t="s">
        <v>59</v>
      </c>
      <c r="B4" s="11" t="s">
        <v>54</v>
      </c>
      <c r="C4" s="11" t="s">
        <v>55</v>
      </c>
      <c r="D4" s="11" t="s">
        <v>56</v>
      </c>
      <c r="E4" s="11" t="s">
        <v>57</v>
      </c>
    </row>
    <row r="5" customFormat="false" ht="14.25" hidden="false" customHeight="true" outlineLevel="0" collapsed="false">
      <c r="A5" s="11" t="s">
        <v>60</v>
      </c>
      <c r="B5" s="11" t="s">
        <v>54</v>
      </c>
      <c r="C5" s="11" t="s">
        <v>55</v>
      </c>
      <c r="D5" s="11" t="s">
        <v>56</v>
      </c>
      <c r="E5" s="11" t="s">
        <v>57</v>
      </c>
    </row>
    <row r="6" customFormat="false" ht="14.25" hidden="false" customHeight="true" outlineLevel="0" collapsed="false">
      <c r="A6" s="11" t="s">
        <v>61</v>
      </c>
      <c r="B6" s="11" t="s">
        <v>54</v>
      </c>
      <c r="C6" s="11" t="s">
        <v>55</v>
      </c>
      <c r="D6" s="11" t="s">
        <v>56</v>
      </c>
      <c r="E6" s="11" t="s">
        <v>57</v>
      </c>
    </row>
    <row r="7" customFormat="false" ht="14.25" hidden="false" customHeight="true" outlineLevel="0" collapsed="false">
      <c r="A7" s="11" t="s">
        <v>62</v>
      </c>
      <c r="B7" s="11" t="s">
        <v>54</v>
      </c>
      <c r="C7" s="11" t="s">
        <v>55</v>
      </c>
      <c r="D7" s="11" t="s">
        <v>56</v>
      </c>
      <c r="E7" s="11" t="s">
        <v>57</v>
      </c>
    </row>
    <row r="8" customFormat="false" ht="14.25" hidden="false" customHeight="true" outlineLevel="0" collapsed="false">
      <c r="A8" s="11" t="s">
        <v>63</v>
      </c>
      <c r="B8" s="11" t="s">
        <v>64</v>
      </c>
      <c r="C8" s="11" t="s">
        <v>65</v>
      </c>
      <c r="D8" s="11" t="s">
        <v>66</v>
      </c>
      <c r="E8" s="11" t="s">
        <v>57</v>
      </c>
    </row>
    <row r="9" customFormat="false" ht="14.25" hidden="false" customHeight="true" outlineLevel="0" collapsed="false">
      <c r="A9" s="11" t="s">
        <v>67</v>
      </c>
      <c r="B9" s="11" t="s">
        <v>64</v>
      </c>
      <c r="C9" s="11" t="s">
        <v>65</v>
      </c>
      <c r="D9" s="11" t="s">
        <v>66</v>
      </c>
      <c r="E9" s="11" t="s">
        <v>57</v>
      </c>
    </row>
    <row r="10" customFormat="false" ht="14.25" hidden="false" customHeight="true" outlineLevel="0" collapsed="false">
      <c r="A10" s="11" t="s">
        <v>68</v>
      </c>
      <c r="B10" s="11" t="s">
        <v>69</v>
      </c>
      <c r="C10" s="11" t="s">
        <v>70</v>
      </c>
      <c r="D10" s="11" t="s">
        <v>71</v>
      </c>
      <c r="E10" s="11" t="s">
        <v>57</v>
      </c>
    </row>
    <row r="11" customFormat="false" ht="14.25" hidden="false" customHeight="true" outlineLevel="0" collapsed="false">
      <c r="A11" s="11" t="s">
        <v>72</v>
      </c>
      <c r="B11" s="11" t="s">
        <v>69</v>
      </c>
      <c r="C11" s="11" t="s">
        <v>70</v>
      </c>
      <c r="D11" s="11" t="s">
        <v>71</v>
      </c>
      <c r="E11" s="11" t="s">
        <v>57</v>
      </c>
    </row>
    <row r="12" customFormat="false" ht="14.25" hidden="false" customHeight="true" outlineLevel="0" collapsed="false">
      <c r="A12" s="11" t="s">
        <v>73</v>
      </c>
      <c r="B12" s="11" t="s">
        <v>74</v>
      </c>
      <c r="C12" s="11" t="s">
        <v>75</v>
      </c>
      <c r="D12" s="11" t="s">
        <v>76</v>
      </c>
      <c r="E12" s="11" t="s">
        <v>57</v>
      </c>
    </row>
    <row r="13" customFormat="false" ht="14.25" hidden="false" customHeight="true" outlineLevel="0" collapsed="false">
      <c r="A13" s="11" t="s">
        <v>77</v>
      </c>
      <c r="B13" s="11" t="s">
        <v>74</v>
      </c>
      <c r="C13" s="11" t="s">
        <v>75</v>
      </c>
      <c r="D13" s="11" t="s">
        <v>76</v>
      </c>
      <c r="E13" s="11" t="s">
        <v>57</v>
      </c>
    </row>
    <row r="14" customFormat="false" ht="14.25" hidden="false" customHeight="true" outlineLevel="0" collapsed="false">
      <c r="A14" s="11" t="s">
        <v>78</v>
      </c>
      <c r="B14" s="11" t="s">
        <v>74</v>
      </c>
      <c r="C14" s="11" t="s">
        <v>75</v>
      </c>
      <c r="D14" s="11" t="s">
        <v>76</v>
      </c>
      <c r="E14" s="11" t="s">
        <v>57</v>
      </c>
    </row>
    <row r="15" customFormat="false" ht="14.25" hidden="false" customHeight="true" outlineLevel="0" collapsed="false">
      <c r="A15" s="11" t="s">
        <v>79</v>
      </c>
      <c r="B15" s="11" t="s">
        <v>80</v>
      </c>
      <c r="C15" s="11" t="s">
        <v>81</v>
      </c>
      <c r="D15" s="11" t="s">
        <v>82</v>
      </c>
      <c r="E15" s="11" t="s">
        <v>83</v>
      </c>
    </row>
    <row r="16" customFormat="false" ht="14.25" hidden="false" customHeight="true" outlineLevel="0" collapsed="false">
      <c r="A16" s="11" t="s">
        <v>84</v>
      </c>
      <c r="B16" s="11" t="s">
        <v>80</v>
      </c>
      <c r="C16" s="11" t="s">
        <v>81</v>
      </c>
      <c r="D16" s="11" t="s">
        <v>82</v>
      </c>
      <c r="E16" s="11" t="s">
        <v>83</v>
      </c>
    </row>
    <row r="17" customFormat="false" ht="14.25" hidden="false" customHeight="true" outlineLevel="0" collapsed="false">
      <c r="A17" s="11" t="s">
        <v>85</v>
      </c>
      <c r="B17" s="11" t="s">
        <v>80</v>
      </c>
      <c r="C17" s="11" t="s">
        <v>81</v>
      </c>
      <c r="D17" s="11" t="s">
        <v>82</v>
      </c>
      <c r="E17" s="11" t="s">
        <v>83</v>
      </c>
    </row>
    <row r="18" customFormat="false" ht="14.25" hidden="false" customHeight="true" outlineLevel="0" collapsed="false">
      <c r="A18" s="11" t="s">
        <v>86</v>
      </c>
      <c r="B18" s="11" t="s">
        <v>87</v>
      </c>
      <c r="C18" s="11" t="s">
        <v>88</v>
      </c>
      <c r="D18" s="11" t="s">
        <v>89</v>
      </c>
      <c r="E18" s="11" t="s">
        <v>57</v>
      </c>
    </row>
    <row r="19" customFormat="false" ht="14.25" hidden="false" customHeight="true" outlineLevel="0" collapsed="false">
      <c r="A19" s="11" t="s">
        <v>90</v>
      </c>
      <c r="B19" s="11" t="s">
        <v>91</v>
      </c>
      <c r="C19" s="11" t="s">
        <v>92</v>
      </c>
      <c r="D19" s="11" t="s">
        <v>93</v>
      </c>
      <c r="E19" s="11" t="s">
        <v>57</v>
      </c>
    </row>
    <row r="20" customFormat="false" ht="14.25" hidden="false" customHeight="true" outlineLevel="0" collapsed="false">
      <c r="A20" s="11" t="s">
        <v>94</v>
      </c>
      <c r="B20" s="11" t="s">
        <v>91</v>
      </c>
      <c r="C20" s="11" t="s">
        <v>92</v>
      </c>
      <c r="D20" s="11" t="s">
        <v>93</v>
      </c>
      <c r="E20" s="11" t="s">
        <v>57</v>
      </c>
    </row>
    <row r="21" customFormat="false" ht="14.25" hidden="false" customHeight="true" outlineLevel="0" collapsed="false">
      <c r="A21" s="11" t="s">
        <v>95</v>
      </c>
      <c r="B21" s="11" t="s">
        <v>96</v>
      </c>
      <c r="C21" s="11" t="s">
        <v>97</v>
      </c>
      <c r="D21" s="11" t="s">
        <v>98</v>
      </c>
      <c r="E21" s="11" t="s">
        <v>57</v>
      </c>
    </row>
    <row r="22" customFormat="false" ht="14.25" hidden="false" customHeight="true" outlineLevel="0" collapsed="false">
      <c r="A22" s="11" t="s">
        <v>99</v>
      </c>
      <c r="B22" s="11" t="s">
        <v>96</v>
      </c>
      <c r="C22" s="11" t="s">
        <v>97</v>
      </c>
      <c r="D22" s="11" t="s">
        <v>98</v>
      </c>
      <c r="E22" s="11" t="s">
        <v>57</v>
      </c>
    </row>
    <row r="23" customFormat="false" ht="14.25" hidden="false" customHeight="true" outlineLevel="0" collapsed="false">
      <c r="A23" s="11" t="s">
        <v>100</v>
      </c>
      <c r="B23" s="11" t="s">
        <v>101</v>
      </c>
      <c r="C23" s="11" t="s">
        <v>102</v>
      </c>
      <c r="D23" s="11" t="s">
        <v>103</v>
      </c>
      <c r="E23" s="11" t="s">
        <v>57</v>
      </c>
    </row>
    <row r="24" customFormat="false" ht="14.25" hidden="false" customHeight="true" outlineLevel="0" collapsed="false">
      <c r="A24" s="11" t="s">
        <v>104</v>
      </c>
      <c r="B24" s="11" t="s">
        <v>101</v>
      </c>
      <c r="C24" s="11" t="s">
        <v>102</v>
      </c>
      <c r="D24" s="11" t="s">
        <v>103</v>
      </c>
      <c r="E24" s="11" t="s">
        <v>57</v>
      </c>
    </row>
    <row r="25" customFormat="false" ht="14.25" hidden="false" customHeight="true" outlineLevel="0" collapsed="false">
      <c r="A25" s="11" t="s">
        <v>105</v>
      </c>
      <c r="B25" s="11" t="s">
        <v>106</v>
      </c>
      <c r="C25" s="11" t="s">
        <v>107</v>
      </c>
      <c r="D25" s="11" t="s">
        <v>108</v>
      </c>
      <c r="E25" s="11" t="s">
        <v>57</v>
      </c>
    </row>
    <row r="26" customFormat="false" ht="14.25" hidden="false" customHeight="true" outlineLevel="0" collapsed="false">
      <c r="A26" s="11" t="s">
        <v>109</v>
      </c>
      <c r="B26" s="11" t="s">
        <v>106</v>
      </c>
      <c r="C26" s="11" t="s">
        <v>107</v>
      </c>
      <c r="D26" s="11" t="s">
        <v>108</v>
      </c>
      <c r="E26" s="11" t="s">
        <v>57</v>
      </c>
    </row>
    <row r="27" customFormat="false" ht="14.25" hidden="false" customHeight="true" outlineLevel="0" collapsed="false">
      <c r="A27" s="11" t="s">
        <v>110</v>
      </c>
      <c r="B27" s="11" t="s">
        <v>106</v>
      </c>
      <c r="C27" s="11" t="s">
        <v>107</v>
      </c>
      <c r="D27" s="11" t="s">
        <v>108</v>
      </c>
      <c r="E27" s="11" t="s">
        <v>57</v>
      </c>
    </row>
    <row r="28" customFormat="false" ht="14.25" hidden="false" customHeight="true" outlineLevel="0" collapsed="false">
      <c r="A28" s="11" t="s">
        <v>111</v>
      </c>
      <c r="B28" s="11" t="s">
        <v>106</v>
      </c>
      <c r="C28" s="11" t="s">
        <v>107</v>
      </c>
      <c r="D28" s="11" t="s">
        <v>112</v>
      </c>
      <c r="E28" s="11" t="s">
        <v>57</v>
      </c>
    </row>
    <row r="29" customFormat="false" ht="14.25" hidden="false" customHeight="true" outlineLevel="0" collapsed="false">
      <c r="A29" s="11" t="s">
        <v>113</v>
      </c>
      <c r="B29" s="11" t="s">
        <v>114</v>
      </c>
      <c r="C29" s="11" t="s">
        <v>115</v>
      </c>
      <c r="D29" s="11" t="s">
        <v>116</v>
      </c>
      <c r="E29" s="11" t="s">
        <v>57</v>
      </c>
    </row>
    <row r="30" customFormat="false" ht="14.25" hidden="false" customHeight="true" outlineLevel="0" collapsed="false">
      <c r="A30" s="11" t="s">
        <v>117</v>
      </c>
      <c r="B30" s="11" t="s">
        <v>114</v>
      </c>
      <c r="C30" s="11" t="s">
        <v>115</v>
      </c>
      <c r="D30" s="11" t="s">
        <v>116</v>
      </c>
      <c r="E30" s="11" t="s">
        <v>57</v>
      </c>
    </row>
    <row r="31" customFormat="false" ht="14.25" hidden="false" customHeight="true" outlineLevel="0" collapsed="false">
      <c r="A31" s="11" t="s">
        <v>118</v>
      </c>
      <c r="B31" s="11" t="s">
        <v>114</v>
      </c>
      <c r="C31" s="11" t="s">
        <v>115</v>
      </c>
      <c r="D31" s="11" t="s">
        <v>119</v>
      </c>
      <c r="E31" s="11" t="s">
        <v>57</v>
      </c>
    </row>
    <row r="32" customFormat="false" ht="14.25" hidden="false" customHeight="true" outlineLevel="0" collapsed="false">
      <c r="A32" s="11" t="s">
        <v>120</v>
      </c>
      <c r="B32" s="11" t="s">
        <v>121</v>
      </c>
      <c r="C32" s="11" t="s">
        <v>122</v>
      </c>
      <c r="D32" s="11" t="s">
        <v>123</v>
      </c>
      <c r="E32" s="11" t="s">
        <v>57</v>
      </c>
    </row>
    <row r="33" customFormat="false" ht="14.25" hidden="false" customHeight="true" outlineLevel="0" collapsed="false">
      <c r="A33" s="11" t="s">
        <v>124</v>
      </c>
      <c r="B33" s="11" t="s">
        <v>121</v>
      </c>
      <c r="C33" s="11" t="s">
        <v>122</v>
      </c>
      <c r="D33" s="11" t="s">
        <v>125</v>
      </c>
      <c r="E33" s="11" t="s">
        <v>57</v>
      </c>
    </row>
    <row r="34" customFormat="false" ht="14.25" hidden="false" customHeight="true" outlineLevel="0" collapsed="false">
      <c r="A34" s="11" t="s">
        <v>126</v>
      </c>
      <c r="B34" s="11" t="s">
        <v>121</v>
      </c>
      <c r="C34" s="11" t="s">
        <v>122</v>
      </c>
      <c r="D34" s="11" t="s">
        <v>125</v>
      </c>
      <c r="E34" s="11" t="s">
        <v>57</v>
      </c>
    </row>
    <row r="35" customFormat="false" ht="14.25" hidden="false" customHeight="true" outlineLevel="0" collapsed="false">
      <c r="A35" s="11" t="s">
        <v>127</v>
      </c>
      <c r="B35" s="11" t="s">
        <v>128</v>
      </c>
      <c r="C35" s="11" t="s">
        <v>129</v>
      </c>
      <c r="D35" s="11" t="s">
        <v>130</v>
      </c>
      <c r="E35" s="11" t="s">
        <v>57</v>
      </c>
    </row>
    <row r="36" customFormat="false" ht="14.25" hidden="false" customHeight="true" outlineLevel="0" collapsed="false">
      <c r="A36" s="11" t="s">
        <v>131</v>
      </c>
      <c r="B36" s="11" t="s">
        <v>128</v>
      </c>
      <c r="C36" s="11" t="s">
        <v>129</v>
      </c>
      <c r="D36" s="11" t="s">
        <v>130</v>
      </c>
      <c r="E36" s="11" t="s">
        <v>57</v>
      </c>
    </row>
    <row r="37" customFormat="false" ht="14.25" hidden="false" customHeight="true" outlineLevel="0" collapsed="false">
      <c r="A37" s="11" t="s">
        <v>132</v>
      </c>
      <c r="B37" s="11" t="s">
        <v>128</v>
      </c>
      <c r="C37" s="11" t="s">
        <v>129</v>
      </c>
      <c r="D37" s="11" t="s">
        <v>133</v>
      </c>
      <c r="E37" s="11" t="s">
        <v>57</v>
      </c>
    </row>
    <row r="38" customFormat="false" ht="14.25" hidden="false" customHeight="true" outlineLevel="0" collapsed="false">
      <c r="A38" s="11" t="s">
        <v>134</v>
      </c>
      <c r="B38" s="11" t="s">
        <v>128</v>
      </c>
      <c r="C38" s="11" t="s">
        <v>129</v>
      </c>
      <c r="D38" s="11" t="s">
        <v>133</v>
      </c>
      <c r="E38" s="11" t="s">
        <v>57</v>
      </c>
    </row>
    <row r="39" customFormat="false" ht="14.25" hidden="false" customHeight="true" outlineLevel="0" collapsed="false">
      <c r="A39" s="11" t="s">
        <v>135</v>
      </c>
      <c r="B39" s="11" t="s">
        <v>136</v>
      </c>
      <c r="C39" s="11" t="s">
        <v>137</v>
      </c>
      <c r="D39" s="11" t="s">
        <v>138</v>
      </c>
      <c r="E39" s="11" t="s">
        <v>139</v>
      </c>
    </row>
    <row r="40" customFormat="false" ht="14.25" hidden="false" customHeight="true" outlineLevel="0" collapsed="false">
      <c r="A40" s="11" t="s">
        <v>140</v>
      </c>
      <c r="B40" s="11" t="s">
        <v>136</v>
      </c>
      <c r="C40" s="11" t="s">
        <v>137</v>
      </c>
      <c r="D40" s="11" t="s">
        <v>138</v>
      </c>
      <c r="E40" s="11" t="s">
        <v>139</v>
      </c>
    </row>
    <row r="41" customFormat="false" ht="14.25" hidden="false" customHeight="true" outlineLevel="0" collapsed="false">
      <c r="A41" s="11" t="s">
        <v>141</v>
      </c>
      <c r="B41" s="11" t="s">
        <v>136</v>
      </c>
      <c r="C41" s="11" t="s">
        <v>137</v>
      </c>
      <c r="D41" s="11" t="s">
        <v>138</v>
      </c>
      <c r="E41" s="11" t="s">
        <v>139</v>
      </c>
    </row>
    <row r="42" customFormat="false" ht="14.25" hidden="false" customHeight="true" outlineLevel="0" collapsed="false">
      <c r="A42" s="11" t="s">
        <v>142</v>
      </c>
      <c r="B42" s="11" t="s">
        <v>136</v>
      </c>
      <c r="C42" s="11" t="s">
        <v>137</v>
      </c>
      <c r="D42" s="11" t="s">
        <v>143</v>
      </c>
      <c r="E42" s="11" t="s">
        <v>139</v>
      </c>
    </row>
    <row r="43" customFormat="false" ht="14.25" hidden="false" customHeight="true" outlineLevel="0" collapsed="false">
      <c r="A43" s="11" t="s">
        <v>144</v>
      </c>
      <c r="B43" s="11" t="s">
        <v>145</v>
      </c>
      <c r="C43" s="11" t="s">
        <v>146</v>
      </c>
      <c r="D43" s="11" t="s">
        <v>147</v>
      </c>
      <c r="E43" s="11" t="s">
        <v>139</v>
      </c>
    </row>
    <row r="44" customFormat="false" ht="14.25" hidden="false" customHeight="true" outlineLevel="0" collapsed="false">
      <c r="A44" s="11" t="s">
        <v>148</v>
      </c>
      <c r="B44" s="11" t="s">
        <v>145</v>
      </c>
      <c r="C44" s="11" t="s">
        <v>146</v>
      </c>
      <c r="D44" s="11" t="s">
        <v>147</v>
      </c>
      <c r="E44" s="11" t="s">
        <v>139</v>
      </c>
    </row>
    <row r="45" customFormat="false" ht="14.25" hidden="false" customHeight="true" outlineLevel="0" collapsed="false">
      <c r="A45" s="11" t="s">
        <v>149</v>
      </c>
      <c r="B45" s="11" t="s">
        <v>145</v>
      </c>
      <c r="C45" s="11" t="s">
        <v>146</v>
      </c>
      <c r="D45" s="11" t="s">
        <v>147</v>
      </c>
      <c r="E45" s="11" t="s">
        <v>139</v>
      </c>
    </row>
    <row r="46" customFormat="false" ht="14.25" hidden="false" customHeight="true" outlineLevel="0" collapsed="false">
      <c r="A46" s="11" t="s">
        <v>150</v>
      </c>
      <c r="B46" s="11" t="s">
        <v>145</v>
      </c>
      <c r="C46" s="11" t="s">
        <v>146</v>
      </c>
      <c r="D46" s="11" t="s">
        <v>151</v>
      </c>
      <c r="E46" s="11" t="s">
        <v>139</v>
      </c>
    </row>
    <row r="47" customFormat="false" ht="14.25" hidden="false" customHeight="true" outlineLevel="0" collapsed="false">
      <c r="A47" s="11" t="s">
        <v>152</v>
      </c>
      <c r="B47" s="11" t="s">
        <v>153</v>
      </c>
      <c r="C47" s="11" t="s">
        <v>154</v>
      </c>
      <c r="D47" s="11" t="s">
        <v>155</v>
      </c>
      <c r="E47" s="11" t="s">
        <v>139</v>
      </c>
    </row>
    <row r="48" customFormat="false" ht="14.25" hidden="false" customHeight="true" outlineLevel="0" collapsed="false">
      <c r="A48" s="11" t="s">
        <v>156</v>
      </c>
      <c r="B48" s="11" t="s">
        <v>153</v>
      </c>
      <c r="C48" s="11" t="s">
        <v>154</v>
      </c>
      <c r="D48" s="11" t="s">
        <v>155</v>
      </c>
      <c r="E48" s="11" t="s">
        <v>139</v>
      </c>
    </row>
    <row r="49" customFormat="false" ht="14.25" hidden="false" customHeight="true" outlineLevel="0" collapsed="false">
      <c r="A49" s="11" t="s">
        <v>157</v>
      </c>
      <c r="B49" s="11" t="s">
        <v>153</v>
      </c>
      <c r="C49" s="11" t="s">
        <v>154</v>
      </c>
      <c r="D49" s="11" t="s">
        <v>155</v>
      </c>
      <c r="E49" s="11" t="s">
        <v>139</v>
      </c>
    </row>
    <row r="50" customFormat="false" ht="14.25" hidden="false" customHeight="true" outlineLevel="0" collapsed="false">
      <c r="A50" s="11" t="s">
        <v>158</v>
      </c>
      <c r="B50" s="11" t="s">
        <v>159</v>
      </c>
      <c r="C50" s="11" t="s">
        <v>160</v>
      </c>
      <c r="D50" s="11" t="s">
        <v>161</v>
      </c>
      <c r="E50" s="11" t="s">
        <v>139</v>
      </c>
    </row>
    <row r="51" customFormat="false" ht="14.25" hidden="false" customHeight="true" outlineLevel="0" collapsed="false">
      <c r="A51" s="11" t="s">
        <v>162</v>
      </c>
      <c r="B51" s="11" t="s">
        <v>159</v>
      </c>
      <c r="C51" s="11" t="s">
        <v>160</v>
      </c>
      <c r="D51" s="11" t="s">
        <v>161</v>
      </c>
      <c r="E51" s="11" t="s">
        <v>139</v>
      </c>
    </row>
    <row r="52" customFormat="false" ht="14.25" hidden="false" customHeight="true" outlineLevel="0" collapsed="false">
      <c r="A52" s="11" t="s">
        <v>163</v>
      </c>
      <c r="B52" s="11" t="s">
        <v>164</v>
      </c>
      <c r="C52" s="11" t="s">
        <v>165</v>
      </c>
      <c r="D52" s="11" t="s">
        <v>166</v>
      </c>
      <c r="E52" s="11" t="s">
        <v>139</v>
      </c>
    </row>
    <row r="53" customFormat="false" ht="14.25" hidden="false" customHeight="true" outlineLevel="0" collapsed="false">
      <c r="A53" s="11" t="s">
        <v>167</v>
      </c>
      <c r="B53" s="11" t="s">
        <v>164</v>
      </c>
      <c r="C53" s="11" t="s">
        <v>165</v>
      </c>
      <c r="D53" s="11" t="s">
        <v>166</v>
      </c>
      <c r="E53" s="11" t="s">
        <v>139</v>
      </c>
    </row>
    <row r="54" customFormat="false" ht="14.25" hidden="false" customHeight="true" outlineLevel="0" collapsed="false">
      <c r="A54" s="11" t="s">
        <v>168</v>
      </c>
      <c r="B54" s="11" t="s">
        <v>169</v>
      </c>
      <c r="C54" s="11" t="s">
        <v>170</v>
      </c>
      <c r="D54" s="11" t="s">
        <v>171</v>
      </c>
      <c r="E54" s="11" t="s">
        <v>172</v>
      </c>
    </row>
    <row r="55" customFormat="false" ht="14.25" hidden="false" customHeight="true" outlineLevel="0" collapsed="false">
      <c r="A55" s="11" t="s">
        <v>173</v>
      </c>
      <c r="B55" s="11" t="s">
        <v>169</v>
      </c>
      <c r="C55" s="11" t="s">
        <v>170</v>
      </c>
      <c r="D55" s="11" t="s">
        <v>171</v>
      </c>
      <c r="E55" s="11" t="s">
        <v>172</v>
      </c>
    </row>
    <row r="56" customFormat="false" ht="14.25" hidden="false" customHeight="true" outlineLevel="0" collapsed="false">
      <c r="A56" s="11" t="s">
        <v>174</v>
      </c>
      <c r="B56" s="11" t="s">
        <v>169</v>
      </c>
      <c r="C56" s="11" t="s">
        <v>170</v>
      </c>
      <c r="D56" s="11" t="s">
        <v>175</v>
      </c>
      <c r="E56" s="11" t="s">
        <v>172</v>
      </c>
    </row>
    <row r="57" customFormat="false" ht="14.25" hidden="false" customHeight="true" outlineLevel="0" collapsed="false">
      <c r="A57" s="11" t="s">
        <v>176</v>
      </c>
      <c r="B57" s="11" t="s">
        <v>177</v>
      </c>
      <c r="C57" s="11" t="s">
        <v>178</v>
      </c>
      <c r="D57" s="11" t="s">
        <v>179</v>
      </c>
      <c r="E57" s="11" t="s">
        <v>180</v>
      </c>
    </row>
    <row r="58" customFormat="false" ht="14.25" hidden="false" customHeight="true" outlineLevel="0" collapsed="false">
      <c r="A58" s="11" t="s">
        <v>181</v>
      </c>
      <c r="B58" s="11" t="s">
        <v>177</v>
      </c>
      <c r="C58" s="11" t="s">
        <v>178</v>
      </c>
      <c r="D58" s="11" t="s">
        <v>179</v>
      </c>
      <c r="E58" s="11" t="s">
        <v>180</v>
      </c>
    </row>
    <row r="59" customFormat="false" ht="14.25" hidden="false" customHeight="true" outlineLevel="0" collapsed="false">
      <c r="A59" s="11" t="s">
        <v>182</v>
      </c>
      <c r="B59" s="11" t="s">
        <v>183</v>
      </c>
      <c r="C59" s="11" t="s">
        <v>184</v>
      </c>
      <c r="D59" s="11" t="s">
        <v>185</v>
      </c>
      <c r="E59" s="11" t="s">
        <v>83</v>
      </c>
    </row>
    <row r="60" customFormat="false" ht="14.25" hidden="false" customHeight="true" outlineLevel="0" collapsed="false">
      <c r="A60" s="11" t="s">
        <v>186</v>
      </c>
      <c r="B60" s="11" t="s">
        <v>183</v>
      </c>
      <c r="C60" s="11" t="s">
        <v>184</v>
      </c>
      <c r="D60" s="11" t="s">
        <v>187</v>
      </c>
      <c r="E60" s="11" t="s">
        <v>83</v>
      </c>
    </row>
    <row r="61" customFormat="false" ht="14.25" hidden="false" customHeight="true" outlineLevel="0" collapsed="false">
      <c r="A61" s="11" t="s">
        <v>188</v>
      </c>
      <c r="B61" s="11" t="s">
        <v>189</v>
      </c>
      <c r="C61" s="11" t="s">
        <v>190</v>
      </c>
      <c r="D61" s="11" t="s">
        <v>191</v>
      </c>
      <c r="E61" s="11" t="s">
        <v>83</v>
      </c>
    </row>
    <row r="62" customFormat="false" ht="14.25" hidden="false" customHeight="true" outlineLevel="0" collapsed="false">
      <c r="A62" s="11" t="s">
        <v>192</v>
      </c>
      <c r="B62" s="11" t="s">
        <v>189</v>
      </c>
      <c r="C62" s="11" t="s">
        <v>190</v>
      </c>
      <c r="D62" s="11" t="s">
        <v>193</v>
      </c>
      <c r="E62" s="11" t="s">
        <v>83</v>
      </c>
    </row>
    <row r="63" customFormat="false" ht="14.25" hidden="false" customHeight="true" outlineLevel="0" collapsed="false">
      <c r="A63" s="11" t="s">
        <v>194</v>
      </c>
      <c r="B63" s="11" t="s">
        <v>189</v>
      </c>
      <c r="C63" s="11" t="s">
        <v>190</v>
      </c>
      <c r="D63" s="11" t="s">
        <v>195</v>
      </c>
      <c r="E63" s="11" t="s">
        <v>83</v>
      </c>
    </row>
    <row r="64" customFormat="false" ht="14.25" hidden="false" customHeight="true" outlineLevel="0" collapsed="false">
      <c r="A64" s="11" t="s">
        <v>196</v>
      </c>
      <c r="B64" s="11" t="s">
        <v>189</v>
      </c>
      <c r="C64" s="11" t="s">
        <v>190</v>
      </c>
      <c r="D64" s="11" t="s">
        <v>195</v>
      </c>
      <c r="E64" s="11" t="s">
        <v>83</v>
      </c>
    </row>
    <row r="65" customFormat="false" ht="14.25" hidden="false" customHeight="true" outlineLevel="0" collapsed="false">
      <c r="A65" s="11" t="s">
        <v>197</v>
      </c>
      <c r="B65" s="11" t="s">
        <v>189</v>
      </c>
      <c r="C65" s="11" t="s">
        <v>190</v>
      </c>
      <c r="D65" s="11" t="s">
        <v>195</v>
      </c>
      <c r="E65" s="11" t="s">
        <v>83</v>
      </c>
    </row>
    <row r="66" customFormat="false" ht="14.25" hidden="false" customHeight="true" outlineLevel="0" collapsed="false">
      <c r="A66" s="11" t="s">
        <v>198</v>
      </c>
      <c r="B66" s="11" t="s">
        <v>199</v>
      </c>
      <c r="C66" s="11" t="s">
        <v>200</v>
      </c>
      <c r="D66" s="11" t="s">
        <v>201</v>
      </c>
      <c r="E66" s="11" t="s">
        <v>83</v>
      </c>
    </row>
    <row r="67" customFormat="false" ht="14.25" hidden="false" customHeight="true" outlineLevel="0" collapsed="false">
      <c r="A67" s="11" t="s">
        <v>202</v>
      </c>
      <c r="B67" s="11" t="s">
        <v>199</v>
      </c>
      <c r="C67" s="11" t="s">
        <v>200</v>
      </c>
      <c r="D67" s="11" t="s">
        <v>201</v>
      </c>
      <c r="E67" s="11" t="s">
        <v>83</v>
      </c>
    </row>
    <row r="68" customFormat="false" ht="14.25" hidden="false" customHeight="true" outlineLevel="0" collapsed="false">
      <c r="A68" s="11" t="s">
        <v>203</v>
      </c>
      <c r="B68" s="11" t="s">
        <v>199</v>
      </c>
      <c r="C68" s="11" t="s">
        <v>200</v>
      </c>
      <c r="D68" s="11" t="s">
        <v>204</v>
      </c>
      <c r="E68" s="11" t="s">
        <v>83</v>
      </c>
    </row>
    <row r="69" customFormat="false" ht="14.25" hidden="false" customHeight="true" outlineLevel="0" collapsed="false">
      <c r="A69" s="11" t="s">
        <v>205</v>
      </c>
      <c r="B69" s="11" t="s">
        <v>199</v>
      </c>
      <c r="C69" s="11" t="s">
        <v>200</v>
      </c>
      <c r="D69" s="11" t="s">
        <v>204</v>
      </c>
      <c r="E69" s="11" t="s">
        <v>83</v>
      </c>
    </row>
    <row r="70" customFormat="false" ht="14.25" hidden="false" customHeight="true" outlineLevel="0" collapsed="false">
      <c r="A70" s="11" t="s">
        <v>206</v>
      </c>
      <c r="B70" s="11" t="s">
        <v>207</v>
      </c>
      <c r="C70" s="11" t="s">
        <v>208</v>
      </c>
      <c r="D70" s="11" t="s">
        <v>209</v>
      </c>
      <c r="E70" s="11" t="s">
        <v>83</v>
      </c>
    </row>
    <row r="71" customFormat="false" ht="14.25" hidden="false" customHeight="true" outlineLevel="0" collapsed="false">
      <c r="A71" s="11" t="s">
        <v>210</v>
      </c>
      <c r="B71" s="11" t="s">
        <v>207</v>
      </c>
      <c r="C71" s="11" t="s">
        <v>208</v>
      </c>
      <c r="D71" s="11" t="s">
        <v>211</v>
      </c>
      <c r="E71" s="11" t="s">
        <v>83</v>
      </c>
    </row>
    <row r="72" customFormat="false" ht="14.25" hidden="false" customHeight="true" outlineLevel="0" collapsed="false">
      <c r="A72" s="11" t="s">
        <v>212</v>
      </c>
      <c r="B72" s="11" t="s">
        <v>207</v>
      </c>
      <c r="C72" s="11" t="s">
        <v>208</v>
      </c>
      <c r="D72" s="11" t="s">
        <v>211</v>
      </c>
      <c r="E72" s="11" t="s">
        <v>83</v>
      </c>
    </row>
    <row r="73" customFormat="false" ht="14.25" hidden="false" customHeight="true" outlineLevel="0" collapsed="false">
      <c r="A73" s="11" t="s">
        <v>213</v>
      </c>
      <c r="B73" s="11" t="s">
        <v>214</v>
      </c>
      <c r="C73" s="11" t="s">
        <v>215</v>
      </c>
      <c r="D73" s="11" t="s">
        <v>216</v>
      </c>
      <c r="E73" s="11" t="s">
        <v>180</v>
      </c>
    </row>
    <row r="74" customFormat="false" ht="14.25" hidden="false" customHeight="true" outlineLevel="0" collapsed="false">
      <c r="A74" s="11" t="s">
        <v>217</v>
      </c>
      <c r="B74" s="11" t="s">
        <v>214</v>
      </c>
      <c r="C74" s="11" t="s">
        <v>215</v>
      </c>
      <c r="D74" s="11" t="s">
        <v>216</v>
      </c>
      <c r="E74" s="11" t="s">
        <v>180</v>
      </c>
    </row>
    <row r="75" customFormat="false" ht="14.25" hidden="false" customHeight="true" outlineLevel="0" collapsed="false">
      <c r="A75" s="11" t="s">
        <v>218</v>
      </c>
      <c r="B75" s="11" t="s">
        <v>219</v>
      </c>
      <c r="C75" s="11" t="s">
        <v>220</v>
      </c>
      <c r="D75" s="11" t="s">
        <v>221</v>
      </c>
      <c r="E75" s="11" t="s">
        <v>180</v>
      </c>
    </row>
    <row r="76" customFormat="false" ht="14.25" hidden="false" customHeight="true" outlineLevel="0" collapsed="false">
      <c r="A76" s="11" t="s">
        <v>222</v>
      </c>
      <c r="B76" s="11" t="s">
        <v>223</v>
      </c>
      <c r="C76" s="11" t="s">
        <v>224</v>
      </c>
      <c r="D76" s="11" t="s">
        <v>225</v>
      </c>
      <c r="E76" s="11" t="s">
        <v>180</v>
      </c>
    </row>
    <row r="77" customFormat="false" ht="14.25" hidden="false" customHeight="true" outlineLevel="0" collapsed="false">
      <c r="A77" s="11" t="s">
        <v>226</v>
      </c>
      <c r="B77" s="11" t="s">
        <v>223</v>
      </c>
      <c r="C77" s="11" t="s">
        <v>224</v>
      </c>
      <c r="D77" s="11" t="s">
        <v>227</v>
      </c>
      <c r="E77" s="11" t="s">
        <v>180</v>
      </c>
    </row>
    <row r="78" customFormat="false" ht="14.25" hidden="false" customHeight="true" outlineLevel="0" collapsed="false">
      <c r="A78" s="11" t="s">
        <v>228</v>
      </c>
      <c r="B78" s="11" t="s">
        <v>219</v>
      </c>
      <c r="C78" s="11" t="s">
        <v>220</v>
      </c>
      <c r="D78" s="11" t="s">
        <v>221</v>
      </c>
      <c r="E78" s="11" t="s">
        <v>180</v>
      </c>
    </row>
    <row r="79" customFormat="false" ht="14.25" hidden="false" customHeight="true" outlineLevel="0" collapsed="false">
      <c r="A79" s="11" t="s">
        <v>229</v>
      </c>
      <c r="B79" s="11" t="s">
        <v>219</v>
      </c>
      <c r="C79" s="11" t="s">
        <v>220</v>
      </c>
      <c r="D79" s="11" t="s">
        <v>230</v>
      </c>
      <c r="E79" s="11" t="s">
        <v>180</v>
      </c>
    </row>
    <row r="80" customFormat="false" ht="14.25" hidden="false" customHeight="true" outlineLevel="0" collapsed="false">
      <c r="A80" s="11" t="s">
        <v>231</v>
      </c>
      <c r="B80" s="11" t="s">
        <v>232</v>
      </c>
      <c r="C80" s="11" t="s">
        <v>233</v>
      </c>
      <c r="D80" s="11" t="s">
        <v>234</v>
      </c>
      <c r="E80" s="11" t="s">
        <v>172</v>
      </c>
    </row>
    <row r="81" customFormat="false" ht="14.25" hidden="false" customHeight="true" outlineLevel="0" collapsed="false">
      <c r="A81" s="11" t="s">
        <v>235</v>
      </c>
      <c r="B81" s="11" t="s">
        <v>232</v>
      </c>
      <c r="C81" s="11" t="s">
        <v>233</v>
      </c>
      <c r="D81" s="11" t="s">
        <v>234</v>
      </c>
      <c r="E81" s="11" t="s">
        <v>172</v>
      </c>
    </row>
    <row r="82" customFormat="false" ht="14.25" hidden="false" customHeight="true" outlineLevel="0" collapsed="false">
      <c r="A82" s="11" t="s">
        <v>236</v>
      </c>
      <c r="B82" s="11" t="s">
        <v>159</v>
      </c>
      <c r="C82" s="11" t="s">
        <v>160</v>
      </c>
      <c r="D82" s="11" t="s">
        <v>237</v>
      </c>
      <c r="E82" s="11" t="s">
        <v>139</v>
      </c>
    </row>
    <row r="83" customFormat="false" ht="14.25" hidden="false" customHeight="true" outlineLevel="0" collapsed="false">
      <c r="A83" s="11" t="s">
        <v>238</v>
      </c>
      <c r="B83" s="11" t="s">
        <v>169</v>
      </c>
      <c r="C83" s="11" t="s">
        <v>170</v>
      </c>
      <c r="D83" s="11" t="s">
        <v>175</v>
      </c>
      <c r="E83" s="11" t="s">
        <v>172</v>
      </c>
    </row>
    <row r="84" customFormat="false" ht="14.25" hidden="false" customHeight="true" outlineLevel="0" collapsed="false">
      <c r="A84" s="11" t="s">
        <v>239</v>
      </c>
      <c r="B84" s="11" t="s">
        <v>189</v>
      </c>
      <c r="C84" s="11" t="s">
        <v>190</v>
      </c>
      <c r="D84" s="11" t="s">
        <v>240</v>
      </c>
      <c r="E84" s="11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8" min="1" style="1" width="28"/>
  </cols>
  <sheetData>
    <row r="1" customFormat="false" ht="14.25" hidden="false" customHeight="true" outlineLevel="0" collapsed="false">
      <c r="A1" s="12" t="s">
        <v>2</v>
      </c>
      <c r="B1" s="12" t="s">
        <v>10</v>
      </c>
      <c r="C1" s="12" t="s">
        <v>11</v>
      </c>
      <c r="D1" s="12" t="s">
        <v>14</v>
      </c>
      <c r="E1" s="12" t="s">
        <v>241</v>
      </c>
      <c r="F1" s="12" t="s">
        <v>18</v>
      </c>
      <c r="G1" s="12" t="s">
        <v>45</v>
      </c>
      <c r="H1" s="12" t="s">
        <v>48</v>
      </c>
    </row>
    <row r="2" customFormat="false" ht="14.25" hidden="false" customHeight="true" outlineLevel="0" collapsed="false">
      <c r="A2" s="13" t="s">
        <v>242</v>
      </c>
      <c r="B2" s="13" t="s">
        <v>243</v>
      </c>
      <c r="C2" s="13" t="s">
        <v>244</v>
      </c>
      <c r="D2" s="13" t="s">
        <v>245</v>
      </c>
      <c r="E2" s="13" t="s">
        <v>246</v>
      </c>
      <c r="F2" s="13" t="s">
        <v>247</v>
      </c>
      <c r="G2" s="13" t="s">
        <v>246</v>
      </c>
      <c r="H2" s="13" t="s">
        <v>248</v>
      </c>
    </row>
    <row r="3" customFormat="false" ht="14.25" hidden="false" customHeight="true" outlineLevel="0" collapsed="false">
      <c r="A3" s="13" t="s">
        <v>249</v>
      </c>
      <c r="B3" s="13" t="s">
        <v>250</v>
      </c>
      <c r="C3" s="13" t="s">
        <v>243</v>
      </c>
      <c r="D3" s="13" t="s">
        <v>251</v>
      </c>
      <c r="E3" s="13" t="s">
        <v>252</v>
      </c>
      <c r="F3" s="13" t="s">
        <v>253</v>
      </c>
      <c r="G3" s="13" t="s">
        <v>252</v>
      </c>
      <c r="H3" s="13" t="s">
        <v>254</v>
      </c>
    </row>
    <row r="4" customFormat="false" ht="14.25" hidden="false" customHeight="true" outlineLevel="0" collapsed="false">
      <c r="A4" s="13" t="s">
        <v>255</v>
      </c>
      <c r="B4" s="13" t="s">
        <v>256</v>
      </c>
      <c r="C4" s="13" t="s">
        <v>257</v>
      </c>
      <c r="D4" s="13" t="s">
        <v>258</v>
      </c>
      <c r="E4" s="13" t="s">
        <v>259</v>
      </c>
      <c r="F4" s="13" t="s">
        <v>260</v>
      </c>
    </row>
    <row r="5" customFormat="false" ht="14.25" hidden="false" customHeight="true" outlineLevel="0" collapsed="false">
      <c r="A5" s="13" t="s">
        <v>261</v>
      </c>
      <c r="B5" s="13" t="s">
        <v>262</v>
      </c>
      <c r="C5" s="13" t="s">
        <v>263</v>
      </c>
      <c r="D5" s="13" t="s">
        <v>264</v>
      </c>
      <c r="F5" s="13" t="s">
        <v>265</v>
      </c>
    </row>
    <row r="6" customFormat="false" ht="14.25" hidden="false" customHeight="true" outlineLevel="0" collapsed="false">
      <c r="A6" s="13" t="s">
        <v>266</v>
      </c>
      <c r="B6" s="13" t="s">
        <v>267</v>
      </c>
      <c r="C6" s="13" t="s">
        <v>268</v>
      </c>
      <c r="D6" s="13" t="s">
        <v>269</v>
      </c>
    </row>
    <row r="7" customFormat="false" ht="14.25" hidden="false" customHeight="true" outlineLevel="0" collapsed="false">
      <c r="A7" s="13" t="s">
        <v>270</v>
      </c>
      <c r="B7" s="13" t="s">
        <v>271</v>
      </c>
      <c r="C7" s="13" t="s">
        <v>272</v>
      </c>
    </row>
    <row r="8" customFormat="false" ht="14.25" hidden="false" customHeight="true" outlineLevel="0" collapsed="false">
      <c r="A8" s="13" t="s">
        <v>273</v>
      </c>
      <c r="B8" s="13" t="s">
        <v>274</v>
      </c>
      <c r="C8" s="13" t="s">
        <v>275</v>
      </c>
    </row>
    <row r="9" customFormat="false" ht="14.25" hidden="false" customHeight="true" outlineLevel="0" collapsed="false">
      <c r="A9" s="13" t="s">
        <v>265</v>
      </c>
      <c r="B9" s="13" t="s">
        <v>276</v>
      </c>
      <c r="C9" s="13" t="s">
        <v>277</v>
      </c>
    </row>
    <row r="10" customFormat="false" ht="14.25" hidden="false" customHeight="true" outlineLevel="0" collapsed="false">
      <c r="B10" s="13" t="s">
        <v>278</v>
      </c>
      <c r="C10" s="13" t="s">
        <v>279</v>
      </c>
    </row>
    <row r="11" customFormat="false" ht="14.25" hidden="false" customHeight="true" outlineLevel="0" collapsed="false">
      <c r="B11" s="13" t="s">
        <v>280</v>
      </c>
      <c r="C11" s="13" t="s">
        <v>281</v>
      </c>
    </row>
    <row r="12" customFormat="false" ht="14.25" hidden="false" customHeight="true" outlineLevel="0" collapsed="false">
      <c r="B12" s="13" t="s">
        <v>282</v>
      </c>
      <c r="C12" s="13" t="s">
        <v>265</v>
      </c>
    </row>
    <row r="13" customFormat="false" ht="14.25" hidden="false" customHeight="true" outlineLevel="0" collapsed="false">
      <c r="B13" s="13" t="s">
        <v>283</v>
      </c>
    </row>
    <row r="14" customFormat="false" ht="14.25" hidden="false" customHeight="true" outlineLevel="0" collapsed="false">
      <c r="B14" s="13" t="s">
        <v>284</v>
      </c>
    </row>
    <row r="15" customFormat="false" ht="14.25" hidden="false" customHeight="true" outlineLevel="0" collapsed="false">
      <c r="B15" s="13" t="s">
        <v>285</v>
      </c>
    </row>
    <row r="16" customFormat="false" ht="14.25" hidden="false" customHeight="true" outlineLevel="0" collapsed="false">
      <c r="B16" s="13" t="s">
        <v>286</v>
      </c>
    </row>
    <row r="17" customFormat="false" ht="14.25" hidden="false" customHeight="true" outlineLevel="0" collapsed="false">
      <c r="B17" s="13" t="s">
        <v>287</v>
      </c>
    </row>
    <row r="18" customFormat="false" ht="14.25" hidden="false" customHeight="true" outlineLevel="0" collapsed="false">
      <c r="B18" s="13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0" t="s">
        <v>288</v>
      </c>
      <c r="B1" s="0" t="s">
        <v>289</v>
      </c>
    </row>
    <row r="2" customFormat="false" ht="15" hidden="false" customHeight="false" outlineLevel="0" collapsed="false">
      <c r="A2" s="0" t="s">
        <v>290</v>
      </c>
      <c r="B2" s="0" t="s">
        <v>291</v>
      </c>
    </row>
    <row r="3" customFormat="false" ht="15" hidden="false" customHeight="false" outlineLevel="0" collapsed="false">
      <c r="A3" s="0" t="s">
        <v>292</v>
      </c>
      <c r="B3" s="0" t="s">
        <v>293</v>
      </c>
    </row>
    <row r="4" customFormat="false" ht="15" hidden="false" customHeight="false" outlineLevel="0" collapsed="false">
      <c r="A4" s="0" t="s">
        <v>294</v>
      </c>
      <c r="B4" s="0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2026-07-15T07:17:19Z</dcterms:created>
  <dc:creator>openpyxl</dc:creator>
  <dc:description/>
  <dc:language>en-US</dc:language>
  <cp:lastModifiedBy>The Digital Systems Architect</cp:lastModifiedBy>
  <dcterms:modified xsi:type="dcterms:W3CDTF">2026-10-16T07:24:55Z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