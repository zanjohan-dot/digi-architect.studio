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stablishments" sheetId="1" state="visible" r:id="rId3"/>
    <sheet name="Singapore_Postal_Lookup" sheetId="2" state="visible" r:id="rId4"/>
    <sheet name="Japan_Prefecture_Lookup" sheetId="3" state="visible" r:id="rId5"/>
    <sheet name="Lists" sheetId="4" state="visible" r:id="rId6"/>
    <sheet name="Instruc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<sst xmlns="http://schemas.openxmlformats.org/spreadsheetml/2006/main" count="856" uniqueCount="481">
  <si>
    <t xml:space="preserve">ID</t>
  </si>
  <si>
    <t xml:space="preserve">Name</t>
  </si>
  <si>
    <t xml:space="preserve">Country</t>
  </si>
  <si>
    <t xml:space="preserve">Address</t>
  </si>
  <si>
    <t xml:space="preserve">Postal Code</t>
  </si>
  <si>
    <t xml:space="preserve">Postal Prefix</t>
  </si>
  <si>
    <t xml:space="preserve">Area / Prefecture Override</t>
  </si>
  <si>
    <t xml:space="preserve">Area / Prefecture</t>
  </si>
  <si>
    <t xml:space="preserve">Postal Sector</t>
  </si>
  <si>
    <t xml:space="preserve">Postal District</t>
  </si>
  <si>
    <t xml:space="preserve">Cuisine</t>
  </si>
  <si>
    <t xml:space="preserve">Establishment Type</t>
  </si>
  <si>
    <t xml:space="preserve">Latitude</t>
  </si>
  <si>
    <t xml:space="preserve">Longitude</t>
  </si>
  <si>
    <t xml:space="preserve">Listing Status</t>
  </si>
  <si>
    <t xml:space="preserve">Basis of Listing</t>
  </si>
  <si>
    <t xml:space="preserve">Halal Certified</t>
  </si>
  <si>
    <t xml:space="preserve">Certification Status</t>
  </si>
  <si>
    <t xml:space="preserve">Certifying Body</t>
  </si>
  <si>
    <t xml:space="preserve">Certificate Expiry</t>
  </si>
  <si>
    <t xml:space="preserve">No Pork Declared</t>
  </si>
  <si>
    <t xml:space="preserve">No Lard Declared</t>
  </si>
  <si>
    <t xml:space="preserve">Halal-Certified Meat</t>
  </si>
  <si>
    <t xml:space="preserve">Alcohol Served</t>
  </si>
  <si>
    <t xml:space="preserve">Alcohol in Menu</t>
  </si>
  <si>
    <t xml:space="preserve">Shared Kitchen</t>
  </si>
  <si>
    <t xml:space="preserve">Shared Utensils</t>
  </si>
  <si>
    <t xml:space="preserve">Shared Fryer</t>
  </si>
  <si>
    <t xml:space="preserve">Shared Grill</t>
  </si>
  <si>
    <t xml:space="preserve">Prayer Space</t>
  </si>
  <si>
    <t xml:space="preserve">Prayer Mat</t>
  </si>
  <si>
    <t xml:space="preserve">Qibla Direction</t>
  </si>
  <si>
    <t xml:space="preserve">Water Facilities</t>
  </si>
  <si>
    <t xml:space="preserve">Declaration Text Override</t>
  </si>
  <si>
    <t xml:space="preserve">Declaration Text</t>
  </si>
  <si>
    <t xml:space="preserve">Cross-Contact Note</t>
  </si>
  <si>
    <t xml:space="preserve">Additional Notes</t>
  </si>
  <si>
    <t xml:space="preserve">Declaration Date</t>
  </si>
  <si>
    <t xml:space="preserve">Last Updated</t>
  </si>
  <si>
    <t xml:space="preserve">Website URL</t>
  </si>
  <si>
    <t xml:space="preserve">Instagram URL</t>
  </si>
  <si>
    <t xml:space="preserve">Location URL</t>
  </si>
  <si>
    <t xml:space="preserve">Directions URL</t>
  </si>
  <si>
    <t xml:space="preserve">Reviews URL</t>
  </si>
  <si>
    <t xml:space="preserve">Image URL</t>
  </si>
  <si>
    <t xml:space="preserve">Is Demo</t>
  </si>
  <si>
    <t xml:space="preserve">Demo Disclaimer</t>
  </si>
  <si>
    <t xml:space="preserve">Data Completeness</t>
  </si>
  <si>
    <t xml:space="preserve">Map Ready</t>
  </si>
  <si>
    <t xml:space="preserve">Record Validation</t>
  </si>
  <si>
    <t xml:space="preserve">Area</t>
  </si>
  <si>
    <t xml:space="preserve">Planning Region</t>
  </si>
  <si>
    <t xml:space="preserve">Notes</t>
  </si>
  <si>
    <t xml:space="preserve">01</t>
  </si>
  <si>
    <t xml:space="preserve">S1</t>
  </si>
  <si>
    <t xml:space="preserve">D1</t>
  </si>
  <si>
    <t xml:space="preserve">City Centre</t>
  </si>
  <si>
    <t xml:space="preserve">Central</t>
  </si>
  <si>
    <t xml:space="preserve">02</t>
  </si>
  <si>
    <t xml:space="preserve">03</t>
  </si>
  <si>
    <t xml:space="preserve">04</t>
  </si>
  <si>
    <t xml:space="preserve">05</t>
  </si>
  <si>
    <t xml:space="preserve">06</t>
  </si>
  <si>
    <t xml:space="preserve">07</t>
  </si>
  <si>
    <t xml:space="preserve">S2</t>
  </si>
  <si>
    <t xml:space="preserve">D2</t>
  </si>
  <si>
    <t xml:space="preserve">Tanjong Pagar</t>
  </si>
  <si>
    <t xml:space="preserve">08</t>
  </si>
  <si>
    <t xml:space="preserve">09</t>
  </si>
  <si>
    <t xml:space="preserve">S3</t>
  </si>
  <si>
    <t xml:space="preserve">D3</t>
  </si>
  <si>
    <t xml:space="preserve">Queenstown</t>
  </si>
  <si>
    <t xml:space="preserve">10</t>
  </si>
  <si>
    <t xml:space="preserve">11</t>
  </si>
  <si>
    <t xml:space="preserve">S4</t>
  </si>
  <si>
    <t xml:space="preserve">D4</t>
  </si>
  <si>
    <t xml:space="preserve">Harbourfront</t>
  </si>
  <si>
    <t xml:space="preserve">12</t>
  </si>
  <si>
    <t xml:space="preserve">13</t>
  </si>
  <si>
    <t xml:space="preserve">14</t>
  </si>
  <si>
    <t xml:space="preserve">S5</t>
  </si>
  <si>
    <t xml:space="preserve">D5</t>
  </si>
  <si>
    <t xml:space="preserve">Pasir Panjang</t>
  </si>
  <si>
    <t xml:space="preserve">West</t>
  </si>
  <si>
    <t xml:space="preserve">15</t>
  </si>
  <si>
    <t xml:space="preserve">16</t>
  </si>
  <si>
    <t xml:space="preserve">17</t>
  </si>
  <si>
    <t xml:space="preserve">S6</t>
  </si>
  <si>
    <t xml:space="preserve">D6</t>
  </si>
  <si>
    <t xml:space="preserve">City Hall</t>
  </si>
  <si>
    <t xml:space="preserve">18</t>
  </si>
  <si>
    <t xml:space="preserve">S7</t>
  </si>
  <si>
    <t xml:space="preserve">D7</t>
  </si>
  <si>
    <t xml:space="preserve">Beach Road</t>
  </si>
  <si>
    <t xml:space="preserve">19</t>
  </si>
  <si>
    <t xml:space="preserve">20</t>
  </si>
  <si>
    <t xml:space="preserve">S8</t>
  </si>
  <si>
    <t xml:space="preserve">D8</t>
  </si>
  <si>
    <t xml:space="preserve">Little India</t>
  </si>
  <si>
    <t xml:space="preserve">21</t>
  </si>
  <si>
    <t xml:space="preserve">22</t>
  </si>
  <si>
    <t xml:space="preserve">S9</t>
  </si>
  <si>
    <t xml:space="preserve">D9</t>
  </si>
  <si>
    <t xml:space="preserve">Orchard</t>
  </si>
  <si>
    <t xml:space="preserve">23</t>
  </si>
  <si>
    <t xml:space="preserve">24</t>
  </si>
  <si>
    <t xml:space="preserve">S10</t>
  </si>
  <si>
    <t xml:space="preserve">D10</t>
  </si>
  <si>
    <t xml:space="preserve">Bukit Timah</t>
  </si>
  <si>
    <t xml:space="preserve">25</t>
  </si>
  <si>
    <t xml:space="preserve">26</t>
  </si>
  <si>
    <t xml:space="preserve">27</t>
  </si>
  <si>
    <t xml:space="preserve">Holland Village</t>
  </si>
  <si>
    <t xml:space="preserve">28</t>
  </si>
  <si>
    <t xml:space="preserve">S11</t>
  </si>
  <si>
    <t xml:space="preserve">D11</t>
  </si>
  <si>
    <t xml:space="preserve">Novena</t>
  </si>
  <si>
    <t xml:space="preserve">29</t>
  </si>
  <si>
    <t xml:space="preserve">30</t>
  </si>
  <si>
    <t xml:space="preserve">Thomson</t>
  </si>
  <si>
    <t xml:space="preserve">31</t>
  </si>
  <si>
    <t xml:space="preserve">S12</t>
  </si>
  <si>
    <t xml:space="preserve">D12</t>
  </si>
  <si>
    <t xml:space="preserve">Balestier</t>
  </si>
  <si>
    <t xml:space="preserve">32</t>
  </si>
  <si>
    <t xml:space="preserve">Toa Payoh</t>
  </si>
  <si>
    <t xml:space="preserve">33</t>
  </si>
  <si>
    <t xml:space="preserve">34</t>
  </si>
  <si>
    <t xml:space="preserve">S13</t>
  </si>
  <si>
    <t xml:space="preserve">D13</t>
  </si>
  <si>
    <t xml:space="preserve">Macpherson</t>
  </si>
  <si>
    <t xml:space="preserve">35</t>
  </si>
  <si>
    <t xml:space="preserve">36</t>
  </si>
  <si>
    <t xml:space="preserve">Braddell</t>
  </si>
  <si>
    <t xml:space="preserve">37</t>
  </si>
  <si>
    <t xml:space="preserve">38</t>
  </si>
  <si>
    <t xml:space="preserve">S14</t>
  </si>
  <si>
    <t xml:space="preserve">D14</t>
  </si>
  <si>
    <t xml:space="preserve">Geylang</t>
  </si>
  <si>
    <t xml:space="preserve">East</t>
  </si>
  <si>
    <t xml:space="preserve">39</t>
  </si>
  <si>
    <t xml:space="preserve">40</t>
  </si>
  <si>
    <t xml:space="preserve">41</t>
  </si>
  <si>
    <t xml:space="preserve">Eunos</t>
  </si>
  <si>
    <t xml:space="preserve">42</t>
  </si>
  <si>
    <t xml:space="preserve">S15</t>
  </si>
  <si>
    <t xml:space="preserve">D15</t>
  </si>
  <si>
    <t xml:space="preserve">Katong</t>
  </si>
  <si>
    <t xml:space="preserve">43</t>
  </si>
  <si>
    <t xml:space="preserve">44</t>
  </si>
  <si>
    <t xml:space="preserve">45</t>
  </si>
  <si>
    <t xml:space="preserve">Marine Parade</t>
  </si>
  <si>
    <t xml:space="preserve">46</t>
  </si>
  <si>
    <t xml:space="preserve">S16</t>
  </si>
  <si>
    <t xml:space="preserve">D16</t>
  </si>
  <si>
    <t xml:space="preserve">Bedok</t>
  </si>
  <si>
    <t xml:space="preserve">47</t>
  </si>
  <si>
    <t xml:space="preserve">48</t>
  </si>
  <si>
    <t xml:space="preserve">49</t>
  </si>
  <si>
    <t xml:space="preserve">S17</t>
  </si>
  <si>
    <t xml:space="preserve">D17</t>
  </si>
  <si>
    <t xml:space="preserve">Changi</t>
  </si>
  <si>
    <t xml:space="preserve">50</t>
  </si>
  <si>
    <t xml:space="preserve">51</t>
  </si>
  <si>
    <t xml:space="preserve">S18</t>
  </si>
  <si>
    <t xml:space="preserve">D18</t>
  </si>
  <si>
    <t xml:space="preserve">Tampines</t>
  </si>
  <si>
    <t xml:space="preserve">52</t>
  </si>
  <si>
    <t xml:space="preserve">53</t>
  </si>
  <si>
    <t xml:space="preserve">S19</t>
  </si>
  <si>
    <t xml:space="preserve">D19</t>
  </si>
  <si>
    <t xml:space="preserve">Hougang</t>
  </si>
  <si>
    <t xml:space="preserve">North-East</t>
  </si>
  <si>
    <t xml:space="preserve">54</t>
  </si>
  <si>
    <t xml:space="preserve">55</t>
  </si>
  <si>
    <t xml:space="preserve">Punggol</t>
  </si>
  <si>
    <t xml:space="preserve">56</t>
  </si>
  <si>
    <t xml:space="preserve">S20</t>
  </si>
  <si>
    <t xml:space="preserve">D20</t>
  </si>
  <si>
    <t xml:space="preserve">Ang Mo Kio</t>
  </si>
  <si>
    <t xml:space="preserve">North</t>
  </si>
  <si>
    <t xml:space="preserve">57</t>
  </si>
  <si>
    <t xml:space="preserve">58</t>
  </si>
  <si>
    <t xml:space="preserve">S21</t>
  </si>
  <si>
    <t xml:space="preserve">D21</t>
  </si>
  <si>
    <t xml:space="preserve">Clementi</t>
  </si>
  <si>
    <t xml:space="preserve">59</t>
  </si>
  <si>
    <t xml:space="preserve">West Coast</t>
  </si>
  <si>
    <t xml:space="preserve">60</t>
  </si>
  <si>
    <t xml:space="preserve">S22</t>
  </si>
  <si>
    <t xml:space="preserve">D22</t>
  </si>
  <si>
    <t xml:space="preserve">Jurong East</t>
  </si>
  <si>
    <t xml:space="preserve">61</t>
  </si>
  <si>
    <t xml:space="preserve">Jurong West</t>
  </si>
  <si>
    <t xml:space="preserve">62</t>
  </si>
  <si>
    <t xml:space="preserve">Jurong</t>
  </si>
  <si>
    <t xml:space="preserve">63</t>
  </si>
  <si>
    <t xml:space="preserve">64</t>
  </si>
  <si>
    <t xml:space="preserve">65</t>
  </si>
  <si>
    <t xml:space="preserve">S23</t>
  </si>
  <si>
    <t xml:space="preserve">D23</t>
  </si>
  <si>
    <t xml:space="preserve">Choa Chu Kang</t>
  </si>
  <si>
    <t xml:space="preserve">66</t>
  </si>
  <si>
    <t xml:space="preserve">67</t>
  </si>
  <si>
    <t xml:space="preserve">Bukit Panjang</t>
  </si>
  <si>
    <t xml:space="preserve">68</t>
  </si>
  <si>
    <t xml:space="preserve">69</t>
  </si>
  <si>
    <t xml:space="preserve">S24</t>
  </si>
  <si>
    <t xml:space="preserve">D24</t>
  </si>
  <si>
    <t xml:space="preserve">Lim Chu Kang</t>
  </si>
  <si>
    <t xml:space="preserve">70</t>
  </si>
  <si>
    <t xml:space="preserve">Tengah</t>
  </si>
  <si>
    <t xml:space="preserve">71</t>
  </si>
  <si>
    <t xml:space="preserve">72</t>
  </si>
  <si>
    <t xml:space="preserve">S25</t>
  </si>
  <si>
    <t xml:space="preserve">D25</t>
  </si>
  <si>
    <t xml:space="preserve">Woodlands</t>
  </si>
  <si>
    <t xml:space="preserve">73</t>
  </si>
  <si>
    <t xml:space="preserve">74</t>
  </si>
  <si>
    <t xml:space="preserve">S26</t>
  </si>
  <si>
    <t xml:space="preserve">D26</t>
  </si>
  <si>
    <t xml:space="preserve">Upper Thomson</t>
  </si>
  <si>
    <t xml:space="preserve">75</t>
  </si>
  <si>
    <t xml:space="preserve">S27</t>
  </si>
  <si>
    <t xml:space="preserve">D27</t>
  </si>
  <si>
    <t xml:space="preserve">Yishun</t>
  </si>
  <si>
    <t xml:space="preserve">76</t>
  </si>
  <si>
    <t xml:space="preserve">Sembawang</t>
  </si>
  <si>
    <t xml:space="preserve">77</t>
  </si>
  <si>
    <t xml:space="preserve">78</t>
  </si>
  <si>
    <t xml:space="preserve">Springleaf</t>
  </si>
  <si>
    <t xml:space="preserve">79</t>
  </si>
  <si>
    <t xml:space="preserve">S28</t>
  </si>
  <si>
    <t xml:space="preserve">D28</t>
  </si>
  <si>
    <t xml:space="preserve">Seletar</t>
  </si>
  <si>
    <t xml:space="preserve">80</t>
  </si>
  <si>
    <t xml:space="preserve">81</t>
  </si>
  <si>
    <t xml:space="preserve">Changi Airport</t>
  </si>
  <si>
    <t xml:space="preserve">82</t>
  </si>
  <si>
    <t xml:space="preserve">83</t>
  </si>
  <si>
    <t xml:space="preserve">Tuas</t>
  </si>
  <si>
    <t xml:space="preserve">Prefecture English</t>
  </si>
  <si>
    <t xml:space="preserve">Prefecture Japanese</t>
  </si>
  <si>
    <t xml:space="preserve">Prefecture Type</t>
  </si>
  <si>
    <t xml:space="preserve">Common Romanised Name</t>
  </si>
  <si>
    <t xml:space="preserve">Alternative English Name</t>
  </si>
  <si>
    <t xml:space="preserve">Region</t>
  </si>
  <si>
    <t xml:space="preserve">Hokkaido</t>
  </si>
  <si>
    <t xml:space="preserve">北海道</t>
  </si>
  <si>
    <t xml:space="preserve">道</t>
  </si>
  <si>
    <t xml:space="preserve">Hokkaidō</t>
  </si>
  <si>
    <t xml:space="preserve">Aomori</t>
  </si>
  <si>
    <t xml:space="preserve">青森県</t>
  </si>
  <si>
    <t xml:space="preserve">県</t>
  </si>
  <si>
    <t xml:space="preserve">Aomori Prefecture</t>
  </si>
  <si>
    <t xml:space="preserve">Tohoku</t>
  </si>
  <si>
    <t xml:space="preserve">Iwate</t>
  </si>
  <si>
    <t xml:space="preserve">岩手県</t>
  </si>
  <si>
    <t xml:space="preserve">Iwate Prefecture</t>
  </si>
  <si>
    <t xml:space="preserve">Miyagi</t>
  </si>
  <si>
    <t xml:space="preserve">宮城県</t>
  </si>
  <si>
    <t xml:space="preserve">Miyagi Prefecture</t>
  </si>
  <si>
    <t xml:space="preserve">Akita</t>
  </si>
  <si>
    <t xml:space="preserve">秋田県</t>
  </si>
  <si>
    <t xml:space="preserve">Akita Prefecture</t>
  </si>
  <si>
    <t xml:space="preserve">Yamagata</t>
  </si>
  <si>
    <t xml:space="preserve">山形県</t>
  </si>
  <si>
    <t xml:space="preserve">Yamagata Prefecture</t>
  </si>
  <si>
    <t xml:space="preserve">Fukushima</t>
  </si>
  <si>
    <t xml:space="preserve">福島県</t>
  </si>
  <si>
    <t xml:space="preserve">Fukushima Prefecture</t>
  </si>
  <si>
    <t xml:space="preserve">Ibaraki</t>
  </si>
  <si>
    <t xml:space="preserve">茨城県</t>
  </si>
  <si>
    <t xml:space="preserve">Ibaraki Prefecture</t>
  </si>
  <si>
    <t xml:space="preserve">Kanto</t>
  </si>
  <si>
    <t xml:space="preserve">Tochigi</t>
  </si>
  <si>
    <t xml:space="preserve">栃木県</t>
  </si>
  <si>
    <t xml:space="preserve">Tochigi Prefecture</t>
  </si>
  <si>
    <t xml:space="preserve">Gunma</t>
  </si>
  <si>
    <t xml:space="preserve">群馬県</t>
  </si>
  <si>
    <t xml:space="preserve">Gunma Prefecture</t>
  </si>
  <si>
    <t xml:space="preserve">Saitama</t>
  </si>
  <si>
    <t xml:space="preserve">埼玉県</t>
  </si>
  <si>
    <t xml:space="preserve">Saitama Prefecture</t>
  </si>
  <si>
    <t xml:space="preserve">Chiba</t>
  </si>
  <si>
    <t xml:space="preserve">千葉県</t>
  </si>
  <si>
    <t xml:space="preserve">Chiba Prefecture</t>
  </si>
  <si>
    <t xml:space="preserve">Tokyo</t>
  </si>
  <si>
    <t xml:space="preserve">東京都</t>
  </si>
  <si>
    <t xml:space="preserve">都</t>
  </si>
  <si>
    <t xml:space="preserve">Tokyo Metropolis</t>
  </si>
  <si>
    <t xml:space="preserve">Kanagawa</t>
  </si>
  <si>
    <t xml:space="preserve">神奈川県</t>
  </si>
  <si>
    <t xml:space="preserve">Kanagawa Prefecture</t>
  </si>
  <si>
    <t xml:space="preserve">Niigata</t>
  </si>
  <si>
    <t xml:space="preserve">新潟県</t>
  </si>
  <si>
    <t xml:space="preserve">Niigata Prefecture</t>
  </si>
  <si>
    <t xml:space="preserve">Chubu</t>
  </si>
  <si>
    <t xml:space="preserve">Toyama</t>
  </si>
  <si>
    <t xml:space="preserve">富山県</t>
  </si>
  <si>
    <t xml:space="preserve">Toyama Prefecture</t>
  </si>
  <si>
    <t xml:space="preserve">Ishikawa</t>
  </si>
  <si>
    <t xml:space="preserve">石川県</t>
  </si>
  <si>
    <t xml:space="preserve">Ishikawa Prefecture</t>
  </si>
  <si>
    <t xml:space="preserve">Fukui</t>
  </si>
  <si>
    <t xml:space="preserve">福井県</t>
  </si>
  <si>
    <t xml:space="preserve">Fukui Prefecture</t>
  </si>
  <si>
    <t xml:space="preserve">Yamanashi</t>
  </si>
  <si>
    <t xml:space="preserve">山梨県</t>
  </si>
  <si>
    <t xml:space="preserve">Yamanashi Prefecture</t>
  </si>
  <si>
    <t xml:space="preserve">Nagano</t>
  </si>
  <si>
    <t xml:space="preserve">長野県</t>
  </si>
  <si>
    <t xml:space="preserve">Nagano Prefecture</t>
  </si>
  <si>
    <t xml:space="preserve">Gifu</t>
  </si>
  <si>
    <t xml:space="preserve">岐阜県</t>
  </si>
  <si>
    <t xml:space="preserve">Gifu Prefecture</t>
  </si>
  <si>
    <t xml:space="preserve">Shizuoka</t>
  </si>
  <si>
    <t xml:space="preserve">静岡県</t>
  </si>
  <si>
    <t xml:space="preserve">Shizuoka Prefecture</t>
  </si>
  <si>
    <t xml:space="preserve">Aichi</t>
  </si>
  <si>
    <t xml:space="preserve">愛知県</t>
  </si>
  <si>
    <t xml:space="preserve">Aichi Prefecture</t>
  </si>
  <si>
    <t xml:space="preserve">Mie</t>
  </si>
  <si>
    <t xml:space="preserve">三重県</t>
  </si>
  <si>
    <t xml:space="preserve">Mie Prefecture</t>
  </si>
  <si>
    <t xml:space="preserve">Kansai</t>
  </si>
  <si>
    <t xml:space="preserve">Shiga</t>
  </si>
  <si>
    <t xml:space="preserve">滋賀県</t>
  </si>
  <si>
    <t xml:space="preserve">Shiga Prefecture</t>
  </si>
  <si>
    <t xml:space="preserve">Kyoto</t>
  </si>
  <si>
    <t xml:space="preserve">京都府</t>
  </si>
  <si>
    <t xml:space="preserve">府</t>
  </si>
  <si>
    <t xml:space="preserve">Kyoto Prefecture</t>
  </si>
  <si>
    <t xml:space="preserve">Osaka</t>
  </si>
  <si>
    <t xml:space="preserve">大阪府</t>
  </si>
  <si>
    <t xml:space="preserve">Osaka Prefecture</t>
  </si>
  <si>
    <t xml:space="preserve">Hyogo</t>
  </si>
  <si>
    <t xml:space="preserve">兵庫県</t>
  </si>
  <si>
    <t xml:space="preserve">Hyogo Prefecture</t>
  </si>
  <si>
    <t xml:space="preserve">Nara</t>
  </si>
  <si>
    <t xml:space="preserve">奈良県</t>
  </si>
  <si>
    <t xml:space="preserve">Nara Prefecture</t>
  </si>
  <si>
    <t xml:space="preserve">Wakayama</t>
  </si>
  <si>
    <t xml:space="preserve">和歌山県</t>
  </si>
  <si>
    <t xml:space="preserve">Wakayama Prefecture</t>
  </si>
  <si>
    <t xml:space="preserve">Tottori</t>
  </si>
  <si>
    <t xml:space="preserve">鳥取県</t>
  </si>
  <si>
    <t xml:space="preserve">Tottori Prefecture</t>
  </si>
  <si>
    <t xml:space="preserve">Chugoku</t>
  </si>
  <si>
    <t xml:space="preserve">Shimane</t>
  </si>
  <si>
    <t xml:space="preserve">島根県</t>
  </si>
  <si>
    <t xml:space="preserve">Shimane Prefecture</t>
  </si>
  <si>
    <t xml:space="preserve">Okayama</t>
  </si>
  <si>
    <t xml:space="preserve">岡山県</t>
  </si>
  <si>
    <t xml:space="preserve">Okayama Prefecture</t>
  </si>
  <si>
    <t xml:space="preserve">Hiroshima</t>
  </si>
  <si>
    <t xml:space="preserve">広島県</t>
  </si>
  <si>
    <t xml:space="preserve">Hiroshima Prefecture</t>
  </si>
  <si>
    <t xml:space="preserve">Yamaguchi</t>
  </si>
  <si>
    <t xml:space="preserve">山口県</t>
  </si>
  <si>
    <t xml:space="preserve">Yamaguchi Prefecture</t>
  </si>
  <si>
    <t xml:space="preserve">Tokushima</t>
  </si>
  <si>
    <t xml:space="preserve">徳島県</t>
  </si>
  <si>
    <t xml:space="preserve">Tokushima Prefecture</t>
  </si>
  <si>
    <t xml:space="preserve">Shikoku</t>
  </si>
  <si>
    <t xml:space="preserve">Kagawa</t>
  </si>
  <si>
    <t xml:space="preserve">香川県</t>
  </si>
  <si>
    <t xml:space="preserve">Kagawa Prefecture</t>
  </si>
  <si>
    <t xml:space="preserve">Ehime</t>
  </si>
  <si>
    <t xml:space="preserve">愛媛県</t>
  </si>
  <si>
    <t xml:space="preserve">Ehime Prefecture</t>
  </si>
  <si>
    <t xml:space="preserve">Kochi</t>
  </si>
  <si>
    <t xml:space="preserve">高知県</t>
  </si>
  <si>
    <t xml:space="preserve">Kochi Prefecture</t>
  </si>
  <si>
    <t xml:space="preserve">Fukuoka</t>
  </si>
  <si>
    <t xml:space="preserve">福岡県</t>
  </si>
  <si>
    <t xml:space="preserve">Fukuoka Prefecture</t>
  </si>
  <si>
    <t xml:space="preserve">Kyushu</t>
  </si>
  <si>
    <t xml:space="preserve">Saga</t>
  </si>
  <si>
    <t xml:space="preserve">佐賀県</t>
  </si>
  <si>
    <t xml:space="preserve">Saga Prefecture</t>
  </si>
  <si>
    <t xml:space="preserve">Nagasaki</t>
  </si>
  <si>
    <t xml:space="preserve">長崎県</t>
  </si>
  <si>
    <t xml:space="preserve">Nagasaki Prefecture</t>
  </si>
  <si>
    <t xml:space="preserve">Kumamoto</t>
  </si>
  <si>
    <t xml:space="preserve">熊本県</t>
  </si>
  <si>
    <t xml:space="preserve">Kumamoto Prefecture</t>
  </si>
  <si>
    <t xml:space="preserve">Oita</t>
  </si>
  <si>
    <t xml:space="preserve">大分県</t>
  </si>
  <si>
    <t xml:space="preserve">Oita Prefecture</t>
  </si>
  <si>
    <t xml:space="preserve">Miyazaki</t>
  </si>
  <si>
    <t xml:space="preserve">宮崎県</t>
  </si>
  <si>
    <t xml:space="preserve">Miyazaki Prefecture</t>
  </si>
  <si>
    <t xml:space="preserve">Kagoshima</t>
  </si>
  <si>
    <t xml:space="preserve">鹿児島県</t>
  </si>
  <si>
    <t xml:space="preserve">Kagoshima Prefecture</t>
  </si>
  <si>
    <t xml:space="preserve">Okinawa</t>
  </si>
  <si>
    <t xml:space="preserve">沖縄県</t>
  </si>
  <si>
    <t xml:space="preserve">Okinawa Prefecture</t>
  </si>
  <si>
    <t xml:space="preserve">Declaration Value</t>
  </si>
  <si>
    <t xml:space="preserve">Singapore</t>
  </si>
  <si>
    <t xml:space="preserve">Café</t>
  </si>
  <si>
    <t xml:space="preserve">Restaurant</t>
  </si>
  <si>
    <t xml:space="preserve">Self-declared Muslim-friendly</t>
  </si>
  <si>
    <t xml:space="preserve">TRUE</t>
  </si>
  <si>
    <t xml:space="preserve">Muis (Singapore)</t>
  </si>
  <si>
    <t xml:space="preserve">Ready</t>
  </si>
  <si>
    <t xml:space="preserve">Japan</t>
  </si>
  <si>
    <t xml:space="preserve">Café / Brunch</t>
  </si>
  <si>
    <t xml:space="preserve">Community suggested — not verified</t>
  </si>
  <si>
    <t xml:space="preserve">FALSE</t>
  </si>
  <si>
    <t xml:space="preserve">JAKIM (Malaysia)</t>
  </si>
  <si>
    <t xml:space="preserve">Coordinates required</t>
  </si>
  <si>
    <t xml:space="preserve">Malaysia</t>
  </si>
  <si>
    <t xml:space="preserve">Japanese</t>
  </si>
  <si>
    <t xml:space="preserve">Bar &amp; Grill</t>
  </si>
  <si>
    <t xml:space="preserve">Halal certified</t>
  </si>
  <si>
    <t xml:space="preserve">Not Stated</t>
  </si>
  <si>
    <t xml:space="preserve">MUI (Indonesia)</t>
  </si>
  <si>
    <t xml:space="preserve">Indonesia</t>
  </si>
  <si>
    <t xml:space="preserve">Korean</t>
  </si>
  <si>
    <t xml:space="preserve">Bistro</t>
  </si>
  <si>
    <t xml:space="preserve">Pending verification</t>
  </si>
  <si>
    <t xml:space="preserve">Other</t>
  </si>
  <si>
    <t xml:space="preserve">United Kingdom</t>
  </si>
  <si>
    <t xml:space="preserve">Western</t>
  </si>
  <si>
    <t xml:space="preserve">Casual Dining</t>
  </si>
  <si>
    <t xml:space="preserve">Listed — Declaration pending</t>
  </si>
  <si>
    <t xml:space="preserve">United States</t>
  </si>
  <si>
    <t xml:space="preserve">Chinese</t>
  </si>
  <si>
    <t xml:space="preserve">Food Court</t>
  </si>
  <si>
    <t xml:space="preserve">Australia</t>
  </si>
  <si>
    <t xml:space="preserve">Malay</t>
  </si>
  <si>
    <t xml:space="preserve">Hawker</t>
  </si>
  <si>
    <t xml:space="preserve">Indian</t>
  </si>
  <si>
    <t xml:space="preserve">Hotel Restaurant</t>
  </si>
  <si>
    <t xml:space="preserve">Indonesian</t>
  </si>
  <si>
    <t xml:space="preserve">Bakery</t>
  </si>
  <si>
    <t xml:space="preserve">Thai</t>
  </si>
  <si>
    <t xml:space="preserve">Caterer</t>
  </si>
  <si>
    <t xml:space="preserve">Vietnamese</t>
  </si>
  <si>
    <t xml:space="preserve">Mediterranean</t>
  </si>
  <si>
    <t xml:space="preserve">Fusion</t>
  </si>
  <si>
    <t xml:space="preserve">International</t>
  </si>
  <si>
    <t xml:space="preserve">Local / Hawker</t>
  </si>
  <si>
    <t xml:space="preserve">Middle Eastern</t>
  </si>
  <si>
    <t xml:space="preserve">AUTO-COMPUTED COLUMNS (KEY CHANGES)</t>
  </si>
  <si>
    <t xml:space="preserve">ID (Column A)</t>
  </si>
  <si>
    <t xml:space="preserve">Auto-generated from the row position: est-001, est-002, etc. Do not type IDs manually — the formula handles this. The ID updates automatically when the table extends.</t>
  </si>
  <si>
    <t xml:space="preserve">Calculated Columns</t>
  </si>
  <si>
    <t xml:space="preserve">The following columns now auto-compute when you enter data in the same row: ID, Postal Prefix, Area / Prefecture, Postal Sector, Postal District, Certification Status, Declaration Text, Demo Disclaimer, Data Completeness, Map Ready, Record Validation.</t>
  </si>
  <si>
    <t xml:space="preserve">How auto-compute works</t>
  </si>
  <si>
    <t xml:space="preserve">These columns use Excel Table Calculated Columns with structured references ([@column_name]). When you Tab into a new row or insert a row, Excel automatically copies the formula. No manual formula entry is needed.</t>
  </si>
  <si>
    <t xml:space="preserve">SheetJS / Website</t>
  </si>
  <si>
    <t xml:space="preserve">SheetJS reads saved formula results. After editing this workbook, press Ctrl+Alt+F9 (full recalculate), then Save, then upload to the server.</t>
  </si>
  <si>
    <t xml:space="preserve">ADDING A NEW ESTABLISHMENT</t>
  </si>
  <si>
    <t xml:space="preserve">Step 1</t>
  </si>
  <si>
    <t xml:space="preserve">Click the last data row inside the table. Press Tab to add a new row — or right-click the last row and choose 'Insert Table Row Below'.</t>
  </si>
  <si>
    <t xml:space="preserve">Step 2</t>
  </si>
  <si>
    <t xml:space="preserve">Fill in required columns (dark blue headers): name, country, address. The ID generates automatically.</t>
  </si>
  <si>
    <t xml:space="preserve">Step 3</t>
  </si>
  <si>
    <t xml:space="preserve">Fill in optional columns (mid blue headers): postal code, cuisine, establishment type, declaration fields, latitude, longitude, etc.</t>
  </si>
  <si>
    <t xml:space="preserve">Step 4</t>
  </si>
  <si>
    <t xml:space="preserve">Watch the green formula columns — they update automatically as you type. Check Record Validation in the last column.</t>
  </si>
  <si>
    <t xml:space="preserve">Step 5</t>
  </si>
  <si>
    <t xml:space="preserve">Press Ctrl+Alt+F9. Save. Upload to /data/muslim-friendly-establishments.xlsx.</t>
  </si>
  <si>
    <t xml:space="preserve">SINGAPORE LOCATION</t>
  </si>
  <si>
    <t xml:space="preserve">Postal code</t>
  </si>
  <si>
    <t xml:space="preserve">Enter a valid 6-digit postal code. Area / Prefecture, Postal Sector and Postal District auto-fill from the Singapore_Postal_Lookup table.</t>
  </si>
  <si>
    <t xml:space="preserve">Override</t>
  </si>
  <si>
    <t xml:space="preserve">Enter a value in Area / Prefecture Override to force a specific area name — useful for Marina Bay, Sentosa, etc.</t>
  </si>
  <si>
    <t xml:space="preserve">JAPAN PREFECTURE</t>
  </si>
  <si>
    <t xml:space="preserve">How it works</t>
  </si>
  <si>
    <t xml:space="preserve">Enter the full address including the prefecture name in English or Japanese. The formula searches the Japan_Prefecture_Lookup table.</t>
  </si>
  <si>
    <t xml:space="preserve">If the prefecture is not detected automatically, enter it in Area / Prefecture Override.</t>
  </si>
  <si>
    <t xml:space="preserve">DECLARATION TEXT &amp; CERTIFICATION</t>
  </si>
  <si>
    <t xml:space="preserve">Auto-generated</t>
  </si>
  <si>
    <t xml:space="preserve">Declaration Text and Certification Status are generated automatically from the input columns. No manual writing needed for standard declarations.</t>
  </si>
  <si>
    <t xml:space="preserve">Enter text in Declaration Text Override to replace the auto-generated paragraph with custom wording.</t>
  </si>
  <si>
    <t xml:space="preserve">Values</t>
  </si>
  <si>
    <t xml:space="preserve">All declaration fields accept: TRUE, FALSE, or Not Stated. Use the dropdown. Blank is also treated as Not Stated.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</si>
</sst>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Calibri"/>
      <family val="0"/>
      <charset val="1"/>
    </font>
    <font>
      <sz val="9"/>
      <color rgb="FF0A0F1E"/>
      <name val="Calibri"/>
      <family val="0"/>
      <charset val="1"/>
    </font>
    <font>
      <sz val="9"/>
      <color rgb="FF0A0F1E"/>
      <name val="Noto Sans CJK SC"/>
      <family val="2"/>
    </font>
    <font>
      <sz val="9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5C3A"/>
        <bgColor rgb="FF1F618D"/>
      </patternFill>
    </fill>
    <fill>
      <patternFill patternType="solid">
        <fgColor rgb="FF0D3B6E"/>
        <bgColor rgb="FF1A5C3A"/>
      </patternFill>
    </fill>
    <fill>
      <patternFill patternType="solid">
        <fgColor rgb="FF1F618D"/>
        <bgColor rgb="FF1A5C3A"/>
      </patternFill>
    </fill>
    <fill>
      <patternFill patternType="solid">
        <fgColor rgb="FF5D6D7E"/>
        <bgColor rgb="FF80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DE9FE"/>
      </patternFill>
    </fill>
    <fill>
      <patternFill patternType="solid">
        <fgColor rgb="FFC0392B"/>
        <bgColor rgb="FF92400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A5C3A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0A0F1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D3B6E"/>
          <bgColor rgb="FF000000"/>
        </patternFill>
      </fill>
    </dxf>
    <dxf>
      <fill>
        <patternFill patternType="solid">
          <fgColor rgb="FFD6EAF8"/>
          <bgColor rgb="FF000000"/>
        </patternFill>
      </fill>
    </dxf>
    <dxf>
      <fill>
        <patternFill patternType="solid">
          <fgColor rgb="FF1F618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5D6D7E"/>
          <bgColor rgb="FF000000"/>
        </patternFill>
      </fill>
    </dxf>
    <dxf>
      <fill>
        <patternFill patternType="solid">
          <fgColor rgb="FFF2F3F4"/>
          <bgColor rgb="FF000000"/>
        </patternFill>
      </fill>
    </dxf>
    <dxf>
      <font>
        <name val="Calibri"/>
        <charset val="1"/>
        <family val="0"/>
        <b val="1"/>
        <color rgb="FF1A5C3A"/>
        <sz val="9"/>
      </font>
      <fill>
        <patternFill>
          <bgColor rgb="FFD5F5E3"/>
        </patternFill>
      </fill>
    </dxf>
    <dxf>
      <font>
        <name val="Calibri"/>
        <charset val="1"/>
        <family val="0"/>
        <b val="1"/>
        <color rgb="FF5B21B6"/>
        <sz val="9"/>
      </font>
      <fill>
        <patternFill>
          <bgColor rgb="FFEDE9FE"/>
        </patternFill>
      </fill>
    </dxf>
    <dxf>
      <font>
        <name val="Calibri"/>
        <charset val="1"/>
        <family val="0"/>
        <color rgb="FF92400E"/>
        <sz val="9"/>
      </font>
      <fill>
        <patternFill>
          <bgColor rgb="FFFEF3C7"/>
        </patternFill>
      </fill>
    </dxf>
    <dxf>
      <font>
        <name val="Calibri"/>
        <charset val="1"/>
        <family val="0"/>
        <color rgb="FF9B1C1C"/>
        <sz val="9"/>
      </font>
      <fill>
        <patternFill>
          <bgColor rgb="FFFDE8E8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392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B1C1C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C0392B"/>
      <rgbColor rgb="FFFEF3C7"/>
      <rgbColor rgb="FFD6EAF8"/>
      <rgbColor rgb="FF660066"/>
      <rgbColor rgb="FFFF8080"/>
      <rgbColor rgb="FF1F618D"/>
      <rgbColor rgb="FFEDE9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3F4"/>
      <rgbColor rgb="FFD5F5E3"/>
      <rgbColor rgb="FFFDE8E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D7E"/>
      <rgbColor rgb="FF969696"/>
      <rgbColor rgb="FF0D3B6E"/>
      <rgbColor rgb="FF339966"/>
      <rgbColor rgb="FF0A0F1E"/>
      <rgbColor rgb="FF333300"/>
      <rgbColor rgb="FF92400E"/>
      <rgbColor rgb="FF993366"/>
      <rgbColor rgb="FF5B21B6"/>
      <rgbColor rgb="FF1A5C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Establishments" displayName="tblEstablishments" ref="A1:AX2" headerRowCount="1" totalsRowCount="0" totalsRowShown="0">
  <autoFilter ref="A1:AX2"/>
  <tableColumns count="50">
    <tableColumn id="1" name="ID"/>
    <tableColumn id="2" name="Name"/>
    <tableColumn id="3" name="Country"/>
    <tableColumn id="4" name="Address"/>
    <tableColumn id="5" name="Postal Code"/>
    <tableColumn id="6" name="Postal Prefix"/>
    <tableColumn id="7" name="Area / Prefecture Override"/>
    <tableColumn id="8" name="Area / Prefecture"/>
    <tableColumn id="9" name="Postal Sector"/>
    <tableColumn id="10" name="Postal District"/>
    <tableColumn id="11" name="Cuisine"/>
    <tableColumn id="12" name="Establishment Type"/>
    <tableColumn id="13" name="Latitude"/>
    <tableColumn id="14" name="Longitude"/>
    <tableColumn id="15" name="Listing Status"/>
    <tableColumn id="16" name="Basis of Listing"/>
    <tableColumn id="17" name="Halal Certified"/>
    <tableColumn id="18" name="Certification Status"/>
    <tableColumn id="19" name="Certifying Body"/>
    <tableColumn id="20" name="Certificate Expiry"/>
    <tableColumn id="21" name="No Pork Declared"/>
    <tableColumn id="22" name="No Lard Declared"/>
    <tableColumn id="23" name="Halal-Certified Meat"/>
    <tableColumn id="24" name="Alcohol Served"/>
    <tableColumn id="25" name="Alcohol in Menu"/>
    <tableColumn id="26" name="Shared Kitchen"/>
    <tableColumn id="27" name="Shared Utensils"/>
    <tableColumn id="28" name="Shared Fryer"/>
    <tableColumn id="29" name="Shared Grill"/>
    <tableColumn id="30" name="Prayer Space"/>
    <tableColumn id="31" name="Prayer Mat"/>
    <tableColumn id="32" name="Qibla Direction"/>
    <tableColumn id="33" name="Water Facilities"/>
    <tableColumn id="34" name="Declaration Text Override"/>
    <tableColumn id="35" name="Declaration Text"/>
    <tableColumn id="36" name="Cross-Contact Note"/>
    <tableColumn id="37" name="Additional Notes"/>
    <tableColumn id="38" name="Declaration Date"/>
    <tableColumn id="39" name="Last Updated"/>
    <tableColumn id="40" name="Website URL"/>
    <tableColumn id="41" name="Instagram URL"/>
    <tableColumn id="42" name="Location URL"/>
    <tableColumn id="43" name="Directions URL"/>
    <tableColumn id="44" name="Reviews URL"/>
    <tableColumn id="45" name="Image URL"/>
    <tableColumn id="46" name="Is Demo"/>
    <tableColumn id="47" name="Demo Disclaimer"/>
    <tableColumn id="48" name="Data Completeness"/>
    <tableColumn id="49" name="Map Ready"/>
    <tableColumn id="50" name="Record Validation"/>
  </tableColumns>
</table>
</file>

<file path=xl/tables/table2.xml><?xml version="1.0" encoding="utf-8"?>
<table xmlns="http://schemas.openxmlformats.org/spreadsheetml/2006/main" id="2" name="tblJapanPrefectures" displayName="tblJapanPrefectures" ref="A1:F48" headerRowCount="1" totalsRowCount="0" totalsRowShown="0">
  <autoFilter ref="A1:F48"/>
  <tableColumns count="6">
    <tableColumn id="1" name="Prefecture English"/>
    <tableColumn id="2" name="Prefecture Japanese"/>
    <tableColumn id="3" name="Prefecture Type"/>
    <tableColumn id="4" name="Common Romanised Name"/>
    <tableColumn id="5" name="Alternative English Name"/>
    <tableColumn id="6" name="Region"/>
  </tableColumns>
</table>
</file>

<file path=xl/tables/table3.xml><?xml version="1.0" encoding="utf-8"?>
<table xmlns="http://schemas.openxmlformats.org/spreadsheetml/2006/main" id="3" name="tblSingaporePostal" displayName="tblSingaporePostal" ref="A1:F84" headerRowCount="1" totalsRowCount="0" totalsRowShown="0">
  <autoFilter ref="A1:F84"/>
  <tableColumns count="6">
    <tableColumn id="1" name="Postal Prefix"/>
    <tableColumn id="2" name="Postal Sector"/>
    <tableColumn id="3" name="Postal District"/>
    <tableColumn id="4" name="Area"/>
    <tableColumn id="5" name="Planning Region"/>
    <tableColumn id="6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B10" activeCellId="0" sqref="B10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3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8"/>
    <col collapsed="false" customWidth="true" hidden="false" outlineLevel="0" max="12" min="12" style="0" width="20"/>
    <col collapsed="false" customWidth="true" hidden="false" outlineLevel="0" max="14" min="13" style="0" width="12"/>
    <col collapsed="false" customWidth="true" hidden="false" outlineLevel="0" max="15" min="15" style="0" width="28"/>
    <col collapsed="false" customWidth="true" hidden="false" outlineLevel="0" max="16" min="16" style="0" width="32"/>
    <col collapsed="false" customWidth="true" hidden="false" outlineLevel="0" max="17" min="17" style="0" width="14"/>
    <col collapsed="false" customWidth="true" hidden="false" outlineLevel="0" max="18" min="18" style="0" width="34"/>
    <col collapsed="false" customWidth="true" hidden="false" outlineLevel="0" max="19" min="19" style="0" width="20"/>
    <col collapsed="false" customWidth="true" hidden="false" outlineLevel="0" max="22" min="20" style="0" width="16"/>
    <col collapsed="false" customWidth="true" hidden="false" outlineLevel="0" max="23" min="23" style="0" width="18"/>
    <col collapsed="false" customWidth="true" hidden="false" outlineLevel="0" max="25" min="24" style="0" width="16"/>
    <col collapsed="false" customWidth="true" hidden="false" outlineLevel="0" max="26" min="26" style="0" width="14"/>
    <col collapsed="false" customWidth="true" hidden="false" outlineLevel="0" max="27" min="27" style="0" width="16"/>
    <col collapsed="false" customWidth="true" hidden="false" outlineLevel="0" max="31" min="28" style="0" width="14"/>
    <col collapsed="false" customWidth="true" hidden="false" outlineLevel="0" max="33" min="32" style="0" width="16"/>
    <col collapsed="false" customWidth="true" hidden="false" outlineLevel="0" max="34" min="34" style="0" width="46"/>
    <col collapsed="false" customWidth="true" hidden="false" outlineLevel="0" max="35" min="35" style="0" width="60"/>
    <col collapsed="false" customWidth="true" hidden="false" outlineLevel="0" max="37" min="36" style="0" width="46"/>
    <col collapsed="false" customWidth="true" hidden="false" outlineLevel="0" max="39" min="38" style="0" width="16"/>
    <col collapsed="false" customWidth="true" hidden="false" outlineLevel="0" max="45" min="40" style="0" width="32"/>
    <col collapsed="false" customWidth="true" hidden="false" outlineLevel="0" max="46" min="46" style="0" width="10"/>
    <col collapsed="false" customWidth="true" hidden="false" outlineLevel="0" max="47" min="47" style="0" width="60"/>
    <col collapsed="false" customWidth="true" hidden="false" outlineLevel="0" max="48" min="48" style="0" width="22"/>
    <col collapsed="false" customWidth="true" hidden="false" outlineLevel="0" max="49" min="49" style="0" width="18"/>
    <col collapsed="false" customWidth="true" hidden="false" outlineLevel="0" max="50" min="50" style="0" width="42"/>
  </cols>
  <sheetData>
    <row r="1" customFormat="false" ht="48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1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1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1" t="s">
        <v>46</v>
      </c>
      <c r="AV1" s="1" t="s">
        <v>47</v>
      </c>
      <c r="AW1" s="1" t="s">
        <v>48</v>
      </c>
      <c r="AX1" s="4" t="s">
        <v>49</v>
      </c>
    </row>
    <row r="2" customFormat="false" ht="60" hidden="false" customHeight="true" outlineLevel="0" collapsed="false">
      <c r="A2" s="5" t="str">
        <f aca="false">IF(B2&lt;&gt;"","est-"&amp;TEXT(ROW()-1,"000"),"")</f>
        <v/>
      </c>
      <c r="B2" s="6"/>
      <c r="C2" s="6"/>
      <c r="D2" s="6"/>
      <c r="E2" s="7"/>
      <c r="F2" s="5" t="str">
        <f aca="false">IF(C2="Singapore",IF(LEN(TEXT(E2,"000000"))=6,LEFT(TEXT(E2,"000000"),2),""),"")</f>
        <v/>
      </c>
      <c r="G2" s="7"/>
      <c r="H2" s="5"/>
      <c r="I2" s="5"/>
      <c r="J2" s="5"/>
      <c r="K2" s="7"/>
      <c r="L2" s="7"/>
      <c r="M2" s="7"/>
      <c r="N2" s="7"/>
      <c r="O2" s="7"/>
      <c r="P2" s="7"/>
      <c r="Q2" s="7"/>
      <c r="R2" s="5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5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5" t="str">
        <f aca="false">IF(OR(AT2=TRUE(),AT2="TRUE"),"This sample listing is provided solely to demonstrate the directory interface. It does not represent a live declaration, verification, endorsement or participating establishment.","")</f>
        <v/>
      </c>
      <c r="AV2" s="5" t="str">
        <f aca="false">IF(OR(A2="",B2="",C2="",D2=""),"Missing required fields",IF(NOT(AND(ISNUMBER(M2),ISNUMBER(N2))),"Missing coordinates","Complete"))</f>
        <v>Missing required fields</v>
      </c>
      <c r="AW2" s="5" t="str">
        <f aca="false">IF(AND(ISNUMBER(M2),ISNUMBER(N2)),"Ready","Coordinates required")</f>
        <v>Coordinates required</v>
      </c>
      <c r="AX2" s="8" t="str">
        <f aca="false">IF(OR(AT2=TRUE(),AT2="TRUE"),"Demo record",IF(A2="","Missing ID",IF(B2="","Missing name",IF(NOT(AND(ISNUMBER(M2),ISNUMBER(N2))),"Coordinates required","Ready for publication"))))</f>
        <v>Missing ID</v>
      </c>
    </row>
    <row r="3" customFormat="false" ht="60" hidden="false" customHeight="true" outlineLevel="0" collapsed="false">
      <c r="A3" s="5"/>
      <c r="B3" s="6"/>
      <c r="C3" s="6"/>
      <c r="D3" s="6"/>
      <c r="E3" s="7"/>
      <c r="F3" s="5"/>
      <c r="G3" s="7"/>
      <c r="H3" s="5"/>
      <c r="I3" s="5"/>
      <c r="J3" s="5"/>
      <c r="K3" s="7"/>
      <c r="L3" s="7"/>
      <c r="M3" s="7"/>
      <c r="N3" s="7"/>
      <c r="O3" s="7"/>
      <c r="P3" s="7"/>
      <c r="Q3" s="7"/>
      <c r="R3" s="5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5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5"/>
      <c r="AV3" s="5"/>
      <c r="AW3" s="5"/>
      <c r="AX3" s="8"/>
    </row>
    <row r="4" customFormat="false" ht="60" hidden="false" customHeight="true" outlineLevel="0" collapsed="false">
      <c r="A4" s="5"/>
      <c r="B4" s="6"/>
      <c r="C4" s="6"/>
      <c r="D4" s="6"/>
      <c r="E4" s="7"/>
      <c r="F4" s="5"/>
      <c r="G4" s="7"/>
      <c r="H4" s="5"/>
      <c r="I4" s="5"/>
      <c r="J4" s="5"/>
      <c r="K4" s="7"/>
      <c r="L4" s="7"/>
      <c r="M4" s="7"/>
      <c r="N4" s="7"/>
      <c r="O4" s="7"/>
      <c r="P4" s="7"/>
      <c r="Q4" s="7"/>
      <c r="R4" s="5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5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5"/>
      <c r="AV4" s="5"/>
      <c r="AW4" s="5"/>
      <c r="AX4" s="8"/>
    </row>
    <row r="5" customFormat="false" ht="60" hidden="false" customHeight="true" outlineLevel="0" collapsed="false">
      <c r="A5" s="5"/>
      <c r="B5" s="6"/>
      <c r="C5" s="6"/>
      <c r="D5" s="6"/>
      <c r="E5" s="7"/>
      <c r="F5" s="5"/>
      <c r="G5" s="7"/>
      <c r="H5" s="5"/>
      <c r="I5" s="5"/>
      <c r="J5" s="5"/>
      <c r="K5" s="7"/>
      <c r="L5" s="7"/>
      <c r="M5" s="7"/>
      <c r="N5" s="7"/>
      <c r="O5" s="7"/>
      <c r="P5" s="7"/>
      <c r="Q5" s="7"/>
      <c r="R5" s="5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5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5"/>
      <c r="AV5" s="5"/>
      <c r="AW5" s="5"/>
      <c r="AX5" s="8"/>
    </row>
    <row r="6" customFormat="false" ht="60" hidden="false" customHeight="true" outlineLevel="0" collapsed="false">
      <c r="A6" s="5"/>
      <c r="B6" s="6"/>
      <c r="C6" s="6"/>
      <c r="D6" s="6"/>
      <c r="E6" s="7"/>
      <c r="F6" s="5"/>
      <c r="G6" s="7"/>
      <c r="H6" s="5"/>
      <c r="I6" s="5"/>
      <c r="J6" s="5"/>
      <c r="K6" s="7"/>
      <c r="L6" s="7"/>
      <c r="M6" s="7"/>
      <c r="N6" s="7"/>
      <c r="O6" s="7"/>
      <c r="P6" s="7"/>
      <c r="Q6" s="7"/>
      <c r="R6" s="5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5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5"/>
      <c r="AV6" s="5"/>
      <c r="AW6" s="5"/>
      <c r="AX6" s="8"/>
    </row>
    <row r="7" customFormat="false" ht="60" hidden="false" customHeight="true" outlineLevel="0" collapsed="false">
      <c r="A7" s="5"/>
      <c r="B7" s="6"/>
      <c r="C7" s="6"/>
      <c r="D7" s="6"/>
      <c r="E7" s="7"/>
      <c r="F7" s="5"/>
      <c r="G7" s="7"/>
      <c r="H7" s="5"/>
      <c r="I7" s="5"/>
      <c r="J7" s="5"/>
      <c r="K7" s="7"/>
      <c r="L7" s="7"/>
      <c r="M7" s="7"/>
      <c r="N7" s="7"/>
      <c r="O7" s="7"/>
      <c r="P7" s="7"/>
      <c r="Q7" s="7"/>
      <c r="R7" s="5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5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5"/>
      <c r="AV7" s="5"/>
      <c r="AW7" s="5"/>
      <c r="AX7" s="8"/>
    </row>
    <row r="8" customFormat="false" ht="60" hidden="false" customHeight="true" outlineLevel="0" collapsed="false">
      <c r="A8" s="5"/>
      <c r="B8" s="6"/>
      <c r="C8" s="6"/>
      <c r="D8" s="6"/>
      <c r="E8" s="7"/>
      <c r="F8" s="5"/>
      <c r="G8" s="7"/>
      <c r="H8" s="5"/>
      <c r="I8" s="5"/>
      <c r="J8" s="5"/>
      <c r="K8" s="7"/>
      <c r="L8" s="7"/>
      <c r="M8" s="7"/>
      <c r="N8" s="7"/>
      <c r="O8" s="7"/>
      <c r="P8" s="7"/>
      <c r="Q8" s="7"/>
      <c r="R8" s="5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5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5"/>
      <c r="AV8" s="5"/>
      <c r="AW8" s="5"/>
      <c r="AX8" s="8"/>
    </row>
    <row r="9" customFormat="false" ht="60" hidden="false" customHeight="true" outlineLevel="0" collapsed="false">
      <c r="A9" s="5"/>
      <c r="B9" s="6"/>
      <c r="C9" s="6"/>
      <c r="D9" s="6"/>
      <c r="E9" s="7"/>
      <c r="F9" s="5"/>
      <c r="G9" s="7"/>
      <c r="H9" s="5"/>
      <c r="I9" s="5"/>
      <c r="J9" s="5"/>
      <c r="K9" s="7"/>
      <c r="L9" s="7"/>
      <c r="M9" s="7"/>
      <c r="N9" s="7"/>
      <c r="O9" s="7"/>
      <c r="P9" s="7"/>
      <c r="Q9" s="7"/>
      <c r="R9" s="5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5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5"/>
      <c r="AV9" s="5"/>
      <c r="AW9" s="5"/>
      <c r="AX9" s="8"/>
    </row>
  </sheetData>
  <conditionalFormatting sqref="AX2:AX10000">
    <cfRule type="expression" priority="2" aboveAverage="0" equalAverage="0" bottom="0" percent="0" rank="0" text="" dxfId="12">
      <formula>$AX2="Ready for publication"</formula>
    </cfRule>
    <cfRule type="expression" priority="3" aboveAverage="0" equalAverage="0" bottom="0" percent="0" rank="0" text="" dxfId="13">
      <formula>$AX2="Demo record"</formula>
    </cfRule>
    <cfRule type="expression" priority="4" aboveAverage="0" equalAverage="0" bottom="0" percent="0" rank="0" text="" dxfId="14">
      <formula>NOT(ISERROR(SEARCH("required",$AX2)))</formula>
    </cfRule>
    <cfRule type="expression" priority="5" aboveAverage="0" equalAverage="0" bottom="0" percent="0" rank="0" text="" dxfId="15">
      <formula>NOT(ISERROR(SEARCH("Invalid",$AX2)))</formula>
    </cfRule>
  </conditionalFormatting>
  <conditionalFormatting sqref="AV2:AV10000">
    <cfRule type="expression" priority="6" aboveAverage="0" equalAverage="0" bottom="0" percent="0" rank="0" text="" dxfId="12">
      <formula>$AV2="Complete"</formula>
    </cfRule>
    <cfRule type="expression" priority="7" aboveAverage="0" equalAverage="0" bottom="0" percent="0" rank="0" text="" dxfId="14">
      <formula>$AV2&lt;&gt;"Complete"</formula>
    </cfRule>
  </conditionalFormatting>
  <dataValidations count="6">
    <dataValidation allowBlank="false" error="Select a value." errorStyle="stop" errorTitle="Invalid" operator="between" showDropDown="false" showErrorMessage="true" showInputMessage="false" sqref="C2:C1009" type="list">
      <formula1>"Singapore,Japan,Malaysia,Indonesia,United Kingdom,United States,Australia,Other"</formula1>
      <formula2>0</formula2>
    </dataValidation>
    <dataValidation allowBlank="false" error="Select a value." errorStyle="stop" errorTitle="Invalid" operator="between" showDropDown="false" showErrorMessage="true" showInputMessage="false" sqref="Q2:Q1009 U2:AG1009 AT2:AT1009" type="list">
      <formula1>"TRUE,FALSE,Not Stated"</formula1>
      <formula2>0</formula2>
    </dataValidation>
    <dataValidation allowBlank="false" error="Select a value." errorStyle="stop" errorTitle="Invalid" operator="between" showDropDown="false" showErrorMessage="true" showInputMessage="false" sqref="O2:O1009" type="list">
      <formula1>"Self-declared Muslim-friendly,Community suggested — not verified,Halal certified,Pending verification"</formula1>
      <formula2>0</formula2>
    </dataValidation>
    <dataValidation allowBlank="false" error="Select a value." errorStyle="stop" errorTitle="Invalid" operator="between" showDropDown="false" showErrorMessage="true" showInputMessage="false" sqref="S2:S1009" type="list">
      <formula1>"Muis (Singapore),JAKIM (Malaysia),MUI (Indonesia),Other"</formula1>
      <formula2>0</formula2>
    </dataValidation>
    <dataValidation allowBlank="false" error="Select a value." errorStyle="stop" errorTitle="Invalid" operator="between" showDropDown="false" showErrorMessage="true" showInputMessage="false" sqref="K2:K1009" type="list">
      <formula1>"Café,Café / Brunch,Japanese,Korean,Western,Chinese,Malay,Indian,Indonesian,Thai,Vietnamese,Mediterranean,Fusion,International,Local / Hawker,Middle Eastern,Other"</formula1>
      <formula2>0</formula2>
    </dataValidation>
    <dataValidation allowBlank="false" error="Select a value." errorStyle="stop" errorTitle="Invalid" operator="between" showDropDown="false" showErrorMessage="true" showInputMessage="false" sqref="L2:L1009" type="list">
      <formula1>"Restaurant,Café,Bar &amp; Grill,Bistro,Casual Dining,Food Court,Hawker,Hotel Restaurant,Bakery,Caterer,Other"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8"/>
    <col collapsed="false" customWidth="true" hidden="false" outlineLevel="0" max="5" min="5" style="0" width="18"/>
    <col collapsed="false" customWidth="true" hidden="false" outlineLevel="0" max="6" min="6" style="0" width="30"/>
  </cols>
  <sheetData>
    <row r="1" customFormat="false" ht="14.25" hidden="false" customHeight="false" outlineLevel="0" collapsed="false">
      <c r="A1" s="9" t="s">
        <v>5</v>
      </c>
      <c r="B1" s="9" t="s">
        <v>8</v>
      </c>
      <c r="C1" s="9" t="s">
        <v>9</v>
      </c>
      <c r="D1" s="9" t="s">
        <v>50</v>
      </c>
      <c r="E1" s="9" t="s">
        <v>51</v>
      </c>
      <c r="F1" s="9" t="s">
        <v>52</v>
      </c>
    </row>
    <row r="2" customFormat="false" ht="14.25" hidden="false" customHeight="false" outlineLevel="0" collapsed="false">
      <c r="A2" s="10" t="s">
        <v>53</v>
      </c>
      <c r="B2" s="10" t="s">
        <v>54</v>
      </c>
      <c r="C2" s="10" t="s">
        <v>55</v>
      </c>
      <c r="D2" s="10" t="s">
        <v>56</v>
      </c>
      <c r="E2" s="10" t="s">
        <v>57</v>
      </c>
    </row>
    <row r="3" customFormat="false" ht="14.25" hidden="false" customHeight="false" outlineLevel="0" collapsed="false">
      <c r="A3" s="10" t="s">
        <v>58</v>
      </c>
      <c r="B3" s="10" t="s">
        <v>54</v>
      </c>
      <c r="C3" s="10" t="s">
        <v>55</v>
      </c>
      <c r="D3" s="10" t="s">
        <v>56</v>
      </c>
      <c r="E3" s="10" t="s">
        <v>57</v>
      </c>
    </row>
    <row r="4" customFormat="false" ht="14.25" hidden="false" customHeight="false" outlineLevel="0" collapsed="false">
      <c r="A4" s="10" t="s">
        <v>59</v>
      </c>
      <c r="B4" s="10" t="s">
        <v>54</v>
      </c>
      <c r="C4" s="10" t="s">
        <v>55</v>
      </c>
      <c r="D4" s="10" t="s">
        <v>56</v>
      </c>
      <c r="E4" s="10" t="s">
        <v>57</v>
      </c>
    </row>
    <row r="5" customFormat="false" ht="14.25" hidden="false" customHeight="false" outlineLevel="0" collapsed="false">
      <c r="A5" s="10" t="s">
        <v>60</v>
      </c>
      <c r="B5" s="10" t="s">
        <v>54</v>
      </c>
      <c r="C5" s="10" t="s">
        <v>55</v>
      </c>
      <c r="D5" s="10" t="s">
        <v>56</v>
      </c>
      <c r="E5" s="10" t="s">
        <v>57</v>
      </c>
    </row>
    <row r="6" customFormat="false" ht="14.25" hidden="false" customHeight="false" outlineLevel="0" collapsed="false">
      <c r="A6" s="10" t="s">
        <v>61</v>
      </c>
      <c r="B6" s="10" t="s">
        <v>54</v>
      </c>
      <c r="C6" s="10" t="s">
        <v>55</v>
      </c>
      <c r="D6" s="10" t="s">
        <v>56</v>
      </c>
      <c r="E6" s="10" t="s">
        <v>57</v>
      </c>
    </row>
    <row r="7" customFormat="false" ht="14.25" hidden="false" customHeight="false" outlineLevel="0" collapsed="false">
      <c r="A7" s="10" t="s">
        <v>62</v>
      </c>
      <c r="B7" s="10" t="s">
        <v>54</v>
      </c>
      <c r="C7" s="10" t="s">
        <v>55</v>
      </c>
      <c r="D7" s="10" t="s">
        <v>56</v>
      </c>
      <c r="E7" s="10" t="s">
        <v>57</v>
      </c>
    </row>
    <row r="8" customFormat="false" ht="14.25" hidden="false" customHeight="false" outlineLevel="0" collapsed="false">
      <c r="A8" s="10" t="s">
        <v>63</v>
      </c>
      <c r="B8" s="10" t="s">
        <v>64</v>
      </c>
      <c r="C8" s="10" t="s">
        <v>65</v>
      </c>
      <c r="D8" s="10" t="s">
        <v>66</v>
      </c>
      <c r="E8" s="10" t="s">
        <v>57</v>
      </c>
    </row>
    <row r="9" customFormat="false" ht="14.25" hidden="false" customHeight="false" outlineLevel="0" collapsed="false">
      <c r="A9" s="10" t="s">
        <v>67</v>
      </c>
      <c r="B9" s="10" t="s">
        <v>64</v>
      </c>
      <c r="C9" s="10" t="s">
        <v>65</v>
      </c>
      <c r="D9" s="10" t="s">
        <v>66</v>
      </c>
      <c r="E9" s="10" t="s">
        <v>57</v>
      </c>
    </row>
    <row r="10" customFormat="false" ht="14.25" hidden="false" customHeight="false" outlineLevel="0" collapsed="false">
      <c r="A10" s="10" t="s">
        <v>68</v>
      </c>
      <c r="B10" s="10" t="s">
        <v>69</v>
      </c>
      <c r="C10" s="10" t="s">
        <v>70</v>
      </c>
      <c r="D10" s="10" t="s">
        <v>71</v>
      </c>
      <c r="E10" s="10" t="s">
        <v>57</v>
      </c>
    </row>
    <row r="11" customFormat="false" ht="14.25" hidden="false" customHeight="false" outlineLevel="0" collapsed="false">
      <c r="A11" s="10" t="s">
        <v>72</v>
      </c>
      <c r="B11" s="10" t="s">
        <v>69</v>
      </c>
      <c r="C11" s="10" t="s">
        <v>70</v>
      </c>
      <c r="D11" s="10" t="s">
        <v>71</v>
      </c>
      <c r="E11" s="10" t="s">
        <v>57</v>
      </c>
    </row>
    <row r="12" customFormat="false" ht="14.25" hidden="false" customHeight="false" outlineLevel="0" collapsed="false">
      <c r="A12" s="10" t="s">
        <v>73</v>
      </c>
      <c r="B12" s="10" t="s">
        <v>74</v>
      </c>
      <c r="C12" s="10" t="s">
        <v>75</v>
      </c>
      <c r="D12" s="10" t="s">
        <v>76</v>
      </c>
      <c r="E12" s="10" t="s">
        <v>57</v>
      </c>
    </row>
    <row r="13" customFormat="false" ht="14.25" hidden="false" customHeight="false" outlineLevel="0" collapsed="false">
      <c r="A13" s="10" t="s">
        <v>77</v>
      </c>
      <c r="B13" s="10" t="s">
        <v>74</v>
      </c>
      <c r="C13" s="10" t="s">
        <v>75</v>
      </c>
      <c r="D13" s="10" t="s">
        <v>76</v>
      </c>
      <c r="E13" s="10" t="s">
        <v>57</v>
      </c>
    </row>
    <row r="14" customFormat="false" ht="14.25" hidden="false" customHeight="false" outlineLevel="0" collapsed="false">
      <c r="A14" s="10" t="s">
        <v>78</v>
      </c>
      <c r="B14" s="10" t="s">
        <v>74</v>
      </c>
      <c r="C14" s="10" t="s">
        <v>75</v>
      </c>
      <c r="D14" s="10" t="s">
        <v>76</v>
      </c>
      <c r="E14" s="10" t="s">
        <v>57</v>
      </c>
    </row>
    <row r="15" customFormat="false" ht="14.25" hidden="false" customHeight="false" outlineLevel="0" collapsed="false">
      <c r="A15" s="10" t="s">
        <v>79</v>
      </c>
      <c r="B15" s="10" t="s">
        <v>80</v>
      </c>
      <c r="C15" s="10" t="s">
        <v>81</v>
      </c>
      <c r="D15" s="10" t="s">
        <v>82</v>
      </c>
      <c r="E15" s="10" t="s">
        <v>83</v>
      </c>
    </row>
    <row r="16" customFormat="false" ht="14.25" hidden="false" customHeight="false" outlineLevel="0" collapsed="false">
      <c r="A16" s="10" t="s">
        <v>84</v>
      </c>
      <c r="B16" s="10" t="s">
        <v>80</v>
      </c>
      <c r="C16" s="10" t="s">
        <v>81</v>
      </c>
      <c r="D16" s="10" t="s">
        <v>82</v>
      </c>
      <c r="E16" s="10" t="s">
        <v>83</v>
      </c>
    </row>
    <row r="17" customFormat="false" ht="14.25" hidden="false" customHeight="false" outlineLevel="0" collapsed="false">
      <c r="A17" s="10" t="s">
        <v>85</v>
      </c>
      <c r="B17" s="10" t="s">
        <v>80</v>
      </c>
      <c r="C17" s="10" t="s">
        <v>81</v>
      </c>
      <c r="D17" s="10" t="s">
        <v>82</v>
      </c>
      <c r="E17" s="10" t="s">
        <v>83</v>
      </c>
    </row>
    <row r="18" customFormat="false" ht="14.25" hidden="false" customHeight="false" outlineLevel="0" collapsed="false">
      <c r="A18" s="10" t="s">
        <v>86</v>
      </c>
      <c r="B18" s="10" t="s">
        <v>87</v>
      </c>
      <c r="C18" s="10" t="s">
        <v>88</v>
      </c>
      <c r="D18" s="10" t="s">
        <v>89</v>
      </c>
      <c r="E18" s="10" t="s">
        <v>57</v>
      </c>
    </row>
    <row r="19" customFormat="false" ht="14.25" hidden="false" customHeight="false" outlineLevel="0" collapsed="false">
      <c r="A19" s="10" t="s">
        <v>90</v>
      </c>
      <c r="B19" s="10" t="s">
        <v>91</v>
      </c>
      <c r="C19" s="10" t="s">
        <v>92</v>
      </c>
      <c r="D19" s="10" t="s">
        <v>93</v>
      </c>
      <c r="E19" s="10" t="s">
        <v>57</v>
      </c>
    </row>
    <row r="20" customFormat="false" ht="14.25" hidden="false" customHeight="false" outlineLevel="0" collapsed="false">
      <c r="A20" s="10" t="s">
        <v>94</v>
      </c>
      <c r="B20" s="10" t="s">
        <v>91</v>
      </c>
      <c r="C20" s="10" t="s">
        <v>92</v>
      </c>
      <c r="D20" s="10" t="s">
        <v>93</v>
      </c>
      <c r="E20" s="10" t="s">
        <v>57</v>
      </c>
    </row>
    <row r="21" customFormat="false" ht="14.25" hidden="false" customHeight="false" outlineLevel="0" collapsed="false">
      <c r="A21" s="10" t="s">
        <v>95</v>
      </c>
      <c r="B21" s="10" t="s">
        <v>96</v>
      </c>
      <c r="C21" s="10" t="s">
        <v>97</v>
      </c>
      <c r="D21" s="10" t="s">
        <v>98</v>
      </c>
      <c r="E21" s="10" t="s">
        <v>57</v>
      </c>
    </row>
    <row r="22" customFormat="false" ht="14.25" hidden="false" customHeight="false" outlineLevel="0" collapsed="false">
      <c r="A22" s="10" t="s">
        <v>99</v>
      </c>
      <c r="B22" s="10" t="s">
        <v>96</v>
      </c>
      <c r="C22" s="10" t="s">
        <v>97</v>
      </c>
      <c r="D22" s="10" t="s">
        <v>98</v>
      </c>
      <c r="E22" s="10" t="s">
        <v>57</v>
      </c>
    </row>
    <row r="23" customFormat="false" ht="14.25" hidden="false" customHeight="false" outlineLevel="0" collapsed="false">
      <c r="A23" s="10" t="s">
        <v>100</v>
      </c>
      <c r="B23" s="10" t="s">
        <v>101</v>
      </c>
      <c r="C23" s="10" t="s">
        <v>102</v>
      </c>
      <c r="D23" s="10" t="s">
        <v>103</v>
      </c>
      <c r="E23" s="10" t="s">
        <v>57</v>
      </c>
    </row>
    <row r="24" customFormat="false" ht="14.25" hidden="false" customHeight="false" outlineLevel="0" collapsed="false">
      <c r="A24" s="10" t="s">
        <v>104</v>
      </c>
      <c r="B24" s="10" t="s">
        <v>101</v>
      </c>
      <c r="C24" s="10" t="s">
        <v>102</v>
      </c>
      <c r="D24" s="10" t="s">
        <v>103</v>
      </c>
      <c r="E24" s="10" t="s">
        <v>57</v>
      </c>
    </row>
    <row r="25" customFormat="false" ht="14.25" hidden="false" customHeight="false" outlineLevel="0" collapsed="false">
      <c r="A25" s="10" t="s">
        <v>105</v>
      </c>
      <c r="B25" s="10" t="s">
        <v>106</v>
      </c>
      <c r="C25" s="10" t="s">
        <v>107</v>
      </c>
      <c r="D25" s="10" t="s">
        <v>108</v>
      </c>
      <c r="E25" s="10" t="s">
        <v>57</v>
      </c>
    </row>
    <row r="26" customFormat="false" ht="14.25" hidden="false" customHeight="false" outlineLevel="0" collapsed="false">
      <c r="A26" s="10" t="s">
        <v>109</v>
      </c>
      <c r="B26" s="10" t="s">
        <v>106</v>
      </c>
      <c r="C26" s="10" t="s">
        <v>107</v>
      </c>
      <c r="D26" s="10" t="s">
        <v>108</v>
      </c>
      <c r="E26" s="10" t="s">
        <v>57</v>
      </c>
    </row>
    <row r="27" customFormat="false" ht="14.25" hidden="false" customHeight="false" outlineLevel="0" collapsed="false">
      <c r="A27" s="10" t="s">
        <v>110</v>
      </c>
      <c r="B27" s="10" t="s">
        <v>106</v>
      </c>
      <c r="C27" s="10" t="s">
        <v>107</v>
      </c>
      <c r="D27" s="10" t="s">
        <v>108</v>
      </c>
      <c r="E27" s="10" t="s">
        <v>57</v>
      </c>
    </row>
    <row r="28" customFormat="false" ht="14.25" hidden="false" customHeight="false" outlineLevel="0" collapsed="false">
      <c r="A28" s="10" t="s">
        <v>111</v>
      </c>
      <c r="B28" s="10" t="s">
        <v>106</v>
      </c>
      <c r="C28" s="10" t="s">
        <v>107</v>
      </c>
      <c r="D28" s="10" t="s">
        <v>112</v>
      </c>
      <c r="E28" s="10" t="s">
        <v>57</v>
      </c>
    </row>
    <row r="29" customFormat="false" ht="14.25" hidden="false" customHeight="false" outlineLevel="0" collapsed="false">
      <c r="A29" s="10" t="s">
        <v>113</v>
      </c>
      <c r="B29" s="10" t="s">
        <v>114</v>
      </c>
      <c r="C29" s="10" t="s">
        <v>115</v>
      </c>
      <c r="D29" s="10" t="s">
        <v>116</v>
      </c>
      <c r="E29" s="10" t="s">
        <v>57</v>
      </c>
    </row>
    <row r="30" customFormat="false" ht="14.25" hidden="false" customHeight="false" outlineLevel="0" collapsed="false">
      <c r="A30" s="10" t="s">
        <v>117</v>
      </c>
      <c r="B30" s="10" t="s">
        <v>114</v>
      </c>
      <c r="C30" s="10" t="s">
        <v>115</v>
      </c>
      <c r="D30" s="10" t="s">
        <v>116</v>
      </c>
      <c r="E30" s="10" t="s">
        <v>57</v>
      </c>
    </row>
    <row r="31" customFormat="false" ht="14.25" hidden="false" customHeight="false" outlineLevel="0" collapsed="false">
      <c r="A31" s="10" t="s">
        <v>118</v>
      </c>
      <c r="B31" s="10" t="s">
        <v>114</v>
      </c>
      <c r="C31" s="10" t="s">
        <v>115</v>
      </c>
      <c r="D31" s="10" t="s">
        <v>119</v>
      </c>
      <c r="E31" s="10" t="s">
        <v>57</v>
      </c>
    </row>
    <row r="32" customFormat="false" ht="14.25" hidden="false" customHeight="false" outlineLevel="0" collapsed="false">
      <c r="A32" s="10" t="s">
        <v>120</v>
      </c>
      <c r="B32" s="10" t="s">
        <v>121</v>
      </c>
      <c r="C32" s="10" t="s">
        <v>122</v>
      </c>
      <c r="D32" s="10" t="s">
        <v>123</v>
      </c>
      <c r="E32" s="10" t="s">
        <v>57</v>
      </c>
    </row>
    <row r="33" customFormat="false" ht="14.25" hidden="false" customHeight="false" outlineLevel="0" collapsed="false">
      <c r="A33" s="10" t="s">
        <v>124</v>
      </c>
      <c r="B33" s="10" t="s">
        <v>121</v>
      </c>
      <c r="C33" s="10" t="s">
        <v>122</v>
      </c>
      <c r="D33" s="10" t="s">
        <v>125</v>
      </c>
      <c r="E33" s="10" t="s">
        <v>57</v>
      </c>
    </row>
    <row r="34" customFormat="false" ht="14.25" hidden="false" customHeight="false" outlineLevel="0" collapsed="false">
      <c r="A34" s="10" t="s">
        <v>126</v>
      </c>
      <c r="B34" s="10" t="s">
        <v>121</v>
      </c>
      <c r="C34" s="10" t="s">
        <v>122</v>
      </c>
      <c r="D34" s="10" t="s">
        <v>125</v>
      </c>
      <c r="E34" s="10" t="s">
        <v>57</v>
      </c>
    </row>
    <row r="35" customFormat="false" ht="14.25" hidden="false" customHeight="false" outlineLevel="0" collapsed="false">
      <c r="A35" s="10" t="s">
        <v>127</v>
      </c>
      <c r="B35" s="10" t="s">
        <v>128</v>
      </c>
      <c r="C35" s="10" t="s">
        <v>129</v>
      </c>
      <c r="D35" s="10" t="s">
        <v>130</v>
      </c>
      <c r="E35" s="10" t="s">
        <v>57</v>
      </c>
    </row>
    <row r="36" customFormat="false" ht="14.25" hidden="false" customHeight="false" outlineLevel="0" collapsed="false">
      <c r="A36" s="10" t="s">
        <v>131</v>
      </c>
      <c r="B36" s="10" t="s">
        <v>128</v>
      </c>
      <c r="C36" s="10" t="s">
        <v>129</v>
      </c>
      <c r="D36" s="10" t="s">
        <v>130</v>
      </c>
      <c r="E36" s="10" t="s">
        <v>57</v>
      </c>
    </row>
    <row r="37" customFormat="false" ht="14.25" hidden="false" customHeight="false" outlineLevel="0" collapsed="false">
      <c r="A37" s="10" t="s">
        <v>132</v>
      </c>
      <c r="B37" s="10" t="s">
        <v>128</v>
      </c>
      <c r="C37" s="10" t="s">
        <v>129</v>
      </c>
      <c r="D37" s="10" t="s">
        <v>133</v>
      </c>
      <c r="E37" s="10" t="s">
        <v>57</v>
      </c>
    </row>
    <row r="38" customFormat="false" ht="14.25" hidden="false" customHeight="false" outlineLevel="0" collapsed="false">
      <c r="A38" s="10" t="s">
        <v>134</v>
      </c>
      <c r="B38" s="10" t="s">
        <v>128</v>
      </c>
      <c r="C38" s="10" t="s">
        <v>129</v>
      </c>
      <c r="D38" s="10" t="s">
        <v>133</v>
      </c>
      <c r="E38" s="10" t="s">
        <v>57</v>
      </c>
    </row>
    <row r="39" customFormat="false" ht="14.25" hidden="false" customHeight="false" outlineLevel="0" collapsed="false">
      <c r="A39" s="10" t="s">
        <v>135</v>
      </c>
      <c r="B39" s="10" t="s">
        <v>136</v>
      </c>
      <c r="C39" s="10" t="s">
        <v>137</v>
      </c>
      <c r="D39" s="10" t="s">
        <v>138</v>
      </c>
      <c r="E39" s="10" t="s">
        <v>139</v>
      </c>
    </row>
    <row r="40" customFormat="false" ht="14.25" hidden="false" customHeight="false" outlineLevel="0" collapsed="false">
      <c r="A40" s="10" t="s">
        <v>140</v>
      </c>
      <c r="B40" s="10" t="s">
        <v>136</v>
      </c>
      <c r="C40" s="10" t="s">
        <v>137</v>
      </c>
      <c r="D40" s="10" t="s">
        <v>138</v>
      </c>
      <c r="E40" s="10" t="s">
        <v>139</v>
      </c>
    </row>
    <row r="41" customFormat="false" ht="14.25" hidden="false" customHeight="false" outlineLevel="0" collapsed="false">
      <c r="A41" s="10" t="s">
        <v>141</v>
      </c>
      <c r="B41" s="10" t="s">
        <v>136</v>
      </c>
      <c r="C41" s="10" t="s">
        <v>137</v>
      </c>
      <c r="D41" s="10" t="s">
        <v>138</v>
      </c>
      <c r="E41" s="10" t="s">
        <v>139</v>
      </c>
    </row>
    <row r="42" customFormat="false" ht="14.25" hidden="false" customHeight="false" outlineLevel="0" collapsed="false">
      <c r="A42" s="10" t="s">
        <v>142</v>
      </c>
      <c r="B42" s="10" t="s">
        <v>136</v>
      </c>
      <c r="C42" s="10" t="s">
        <v>137</v>
      </c>
      <c r="D42" s="10" t="s">
        <v>143</v>
      </c>
      <c r="E42" s="10" t="s">
        <v>139</v>
      </c>
    </row>
    <row r="43" customFormat="false" ht="14.25" hidden="false" customHeight="false" outlineLevel="0" collapsed="false">
      <c r="A43" s="10" t="s">
        <v>144</v>
      </c>
      <c r="B43" s="10" t="s">
        <v>145</v>
      </c>
      <c r="C43" s="10" t="s">
        <v>146</v>
      </c>
      <c r="D43" s="10" t="s">
        <v>147</v>
      </c>
      <c r="E43" s="10" t="s">
        <v>139</v>
      </c>
    </row>
    <row r="44" customFormat="false" ht="14.25" hidden="false" customHeight="false" outlineLevel="0" collapsed="false">
      <c r="A44" s="10" t="s">
        <v>148</v>
      </c>
      <c r="B44" s="10" t="s">
        <v>145</v>
      </c>
      <c r="C44" s="10" t="s">
        <v>146</v>
      </c>
      <c r="D44" s="10" t="s">
        <v>147</v>
      </c>
      <c r="E44" s="10" t="s">
        <v>139</v>
      </c>
    </row>
    <row r="45" customFormat="false" ht="14.25" hidden="false" customHeight="false" outlineLevel="0" collapsed="false">
      <c r="A45" s="10" t="s">
        <v>149</v>
      </c>
      <c r="B45" s="10" t="s">
        <v>145</v>
      </c>
      <c r="C45" s="10" t="s">
        <v>146</v>
      </c>
      <c r="D45" s="10" t="s">
        <v>147</v>
      </c>
      <c r="E45" s="10" t="s">
        <v>139</v>
      </c>
    </row>
    <row r="46" customFormat="false" ht="14.25" hidden="false" customHeight="false" outlineLevel="0" collapsed="false">
      <c r="A46" s="10" t="s">
        <v>150</v>
      </c>
      <c r="B46" s="10" t="s">
        <v>145</v>
      </c>
      <c r="C46" s="10" t="s">
        <v>146</v>
      </c>
      <c r="D46" s="10" t="s">
        <v>151</v>
      </c>
      <c r="E46" s="10" t="s">
        <v>139</v>
      </c>
    </row>
    <row r="47" customFormat="false" ht="14.25" hidden="false" customHeight="false" outlineLevel="0" collapsed="false">
      <c r="A47" s="10" t="s">
        <v>152</v>
      </c>
      <c r="B47" s="10" t="s">
        <v>153</v>
      </c>
      <c r="C47" s="10" t="s">
        <v>154</v>
      </c>
      <c r="D47" s="10" t="s">
        <v>155</v>
      </c>
      <c r="E47" s="10" t="s">
        <v>139</v>
      </c>
    </row>
    <row r="48" customFormat="false" ht="14.25" hidden="false" customHeight="false" outlineLevel="0" collapsed="false">
      <c r="A48" s="10" t="s">
        <v>156</v>
      </c>
      <c r="B48" s="10" t="s">
        <v>153</v>
      </c>
      <c r="C48" s="10" t="s">
        <v>154</v>
      </c>
      <c r="D48" s="10" t="s">
        <v>155</v>
      </c>
      <c r="E48" s="10" t="s">
        <v>139</v>
      </c>
    </row>
    <row r="49" customFormat="false" ht="14.25" hidden="false" customHeight="false" outlineLevel="0" collapsed="false">
      <c r="A49" s="10" t="s">
        <v>157</v>
      </c>
      <c r="B49" s="10" t="s">
        <v>153</v>
      </c>
      <c r="C49" s="10" t="s">
        <v>154</v>
      </c>
      <c r="D49" s="10" t="s">
        <v>155</v>
      </c>
      <c r="E49" s="10" t="s">
        <v>139</v>
      </c>
    </row>
    <row r="50" customFormat="false" ht="14.25" hidden="false" customHeight="false" outlineLevel="0" collapsed="false">
      <c r="A50" s="10" t="s">
        <v>158</v>
      </c>
      <c r="B50" s="10" t="s">
        <v>159</v>
      </c>
      <c r="C50" s="10" t="s">
        <v>160</v>
      </c>
      <c r="D50" s="10" t="s">
        <v>161</v>
      </c>
      <c r="E50" s="10" t="s">
        <v>139</v>
      </c>
    </row>
    <row r="51" customFormat="false" ht="14.25" hidden="false" customHeight="false" outlineLevel="0" collapsed="false">
      <c r="A51" s="10" t="s">
        <v>162</v>
      </c>
      <c r="B51" s="10" t="s">
        <v>159</v>
      </c>
      <c r="C51" s="10" t="s">
        <v>160</v>
      </c>
      <c r="D51" s="10" t="s">
        <v>161</v>
      </c>
      <c r="E51" s="10" t="s">
        <v>139</v>
      </c>
    </row>
    <row r="52" customFormat="false" ht="14.25" hidden="false" customHeight="false" outlineLevel="0" collapsed="false">
      <c r="A52" s="10" t="s">
        <v>163</v>
      </c>
      <c r="B52" s="10" t="s">
        <v>164</v>
      </c>
      <c r="C52" s="10" t="s">
        <v>165</v>
      </c>
      <c r="D52" s="10" t="s">
        <v>166</v>
      </c>
      <c r="E52" s="10" t="s">
        <v>139</v>
      </c>
    </row>
    <row r="53" customFormat="false" ht="14.25" hidden="false" customHeight="false" outlineLevel="0" collapsed="false">
      <c r="A53" s="10" t="s">
        <v>167</v>
      </c>
      <c r="B53" s="10" t="s">
        <v>164</v>
      </c>
      <c r="C53" s="10" t="s">
        <v>165</v>
      </c>
      <c r="D53" s="10" t="s">
        <v>166</v>
      </c>
      <c r="E53" s="10" t="s">
        <v>139</v>
      </c>
    </row>
    <row r="54" customFormat="false" ht="14.25" hidden="false" customHeight="false" outlineLevel="0" collapsed="false">
      <c r="A54" s="10" t="s">
        <v>168</v>
      </c>
      <c r="B54" s="10" t="s">
        <v>169</v>
      </c>
      <c r="C54" s="10" t="s">
        <v>170</v>
      </c>
      <c r="D54" s="10" t="s">
        <v>171</v>
      </c>
      <c r="E54" s="10" t="s">
        <v>172</v>
      </c>
    </row>
    <row r="55" customFormat="false" ht="14.25" hidden="false" customHeight="false" outlineLevel="0" collapsed="false">
      <c r="A55" s="10" t="s">
        <v>173</v>
      </c>
      <c r="B55" s="10" t="s">
        <v>169</v>
      </c>
      <c r="C55" s="10" t="s">
        <v>170</v>
      </c>
      <c r="D55" s="10" t="s">
        <v>171</v>
      </c>
      <c r="E55" s="10" t="s">
        <v>172</v>
      </c>
    </row>
    <row r="56" customFormat="false" ht="14.25" hidden="false" customHeight="false" outlineLevel="0" collapsed="false">
      <c r="A56" s="10" t="s">
        <v>174</v>
      </c>
      <c r="B56" s="10" t="s">
        <v>169</v>
      </c>
      <c r="C56" s="10" t="s">
        <v>170</v>
      </c>
      <c r="D56" s="10" t="s">
        <v>175</v>
      </c>
      <c r="E56" s="10" t="s">
        <v>172</v>
      </c>
    </row>
    <row r="57" customFormat="false" ht="14.25" hidden="false" customHeight="false" outlineLevel="0" collapsed="false">
      <c r="A57" s="10" t="s">
        <v>176</v>
      </c>
      <c r="B57" s="10" t="s">
        <v>177</v>
      </c>
      <c r="C57" s="10" t="s">
        <v>178</v>
      </c>
      <c r="D57" s="10" t="s">
        <v>179</v>
      </c>
      <c r="E57" s="10" t="s">
        <v>180</v>
      </c>
    </row>
    <row r="58" customFormat="false" ht="14.25" hidden="false" customHeight="false" outlineLevel="0" collapsed="false">
      <c r="A58" s="10" t="s">
        <v>181</v>
      </c>
      <c r="B58" s="10" t="s">
        <v>177</v>
      </c>
      <c r="C58" s="10" t="s">
        <v>178</v>
      </c>
      <c r="D58" s="10" t="s">
        <v>179</v>
      </c>
      <c r="E58" s="10" t="s">
        <v>180</v>
      </c>
    </row>
    <row r="59" customFormat="false" ht="14.25" hidden="false" customHeight="false" outlineLevel="0" collapsed="false">
      <c r="A59" s="10" t="s">
        <v>182</v>
      </c>
      <c r="B59" s="10" t="s">
        <v>183</v>
      </c>
      <c r="C59" s="10" t="s">
        <v>184</v>
      </c>
      <c r="D59" s="10" t="s">
        <v>185</v>
      </c>
      <c r="E59" s="10" t="s">
        <v>83</v>
      </c>
    </row>
    <row r="60" customFormat="false" ht="14.25" hidden="false" customHeight="false" outlineLevel="0" collapsed="false">
      <c r="A60" s="10" t="s">
        <v>186</v>
      </c>
      <c r="B60" s="10" t="s">
        <v>183</v>
      </c>
      <c r="C60" s="10" t="s">
        <v>184</v>
      </c>
      <c r="D60" s="10" t="s">
        <v>187</v>
      </c>
      <c r="E60" s="10" t="s">
        <v>83</v>
      </c>
    </row>
    <row r="61" customFormat="false" ht="14.25" hidden="false" customHeight="false" outlineLevel="0" collapsed="false">
      <c r="A61" s="10" t="s">
        <v>188</v>
      </c>
      <c r="B61" s="10" t="s">
        <v>189</v>
      </c>
      <c r="C61" s="10" t="s">
        <v>190</v>
      </c>
      <c r="D61" s="10" t="s">
        <v>191</v>
      </c>
      <c r="E61" s="10" t="s">
        <v>83</v>
      </c>
    </row>
    <row r="62" customFormat="false" ht="14.25" hidden="false" customHeight="false" outlineLevel="0" collapsed="false">
      <c r="A62" s="10" t="s">
        <v>192</v>
      </c>
      <c r="B62" s="10" t="s">
        <v>189</v>
      </c>
      <c r="C62" s="10" t="s">
        <v>190</v>
      </c>
      <c r="D62" s="10" t="s">
        <v>193</v>
      </c>
      <c r="E62" s="10" t="s">
        <v>83</v>
      </c>
    </row>
    <row r="63" customFormat="false" ht="14.25" hidden="false" customHeight="false" outlineLevel="0" collapsed="false">
      <c r="A63" s="10" t="s">
        <v>194</v>
      </c>
      <c r="B63" s="10" t="s">
        <v>189</v>
      </c>
      <c r="C63" s="10" t="s">
        <v>190</v>
      </c>
      <c r="D63" s="10" t="s">
        <v>195</v>
      </c>
      <c r="E63" s="10" t="s">
        <v>83</v>
      </c>
    </row>
    <row r="64" customFormat="false" ht="14.25" hidden="false" customHeight="false" outlineLevel="0" collapsed="false">
      <c r="A64" s="10" t="s">
        <v>196</v>
      </c>
      <c r="B64" s="10" t="s">
        <v>189</v>
      </c>
      <c r="C64" s="10" t="s">
        <v>190</v>
      </c>
      <c r="D64" s="10" t="s">
        <v>195</v>
      </c>
      <c r="E64" s="10" t="s">
        <v>83</v>
      </c>
    </row>
    <row r="65" customFormat="false" ht="14.25" hidden="false" customHeight="false" outlineLevel="0" collapsed="false">
      <c r="A65" s="10" t="s">
        <v>197</v>
      </c>
      <c r="B65" s="10" t="s">
        <v>189</v>
      </c>
      <c r="C65" s="10" t="s">
        <v>190</v>
      </c>
      <c r="D65" s="10" t="s">
        <v>195</v>
      </c>
      <c r="E65" s="10" t="s">
        <v>83</v>
      </c>
    </row>
    <row r="66" customFormat="false" ht="14.25" hidden="false" customHeight="false" outlineLevel="0" collapsed="false">
      <c r="A66" s="10" t="s">
        <v>198</v>
      </c>
      <c r="B66" s="10" t="s">
        <v>199</v>
      </c>
      <c r="C66" s="10" t="s">
        <v>200</v>
      </c>
      <c r="D66" s="10" t="s">
        <v>201</v>
      </c>
      <c r="E66" s="10" t="s">
        <v>83</v>
      </c>
    </row>
    <row r="67" customFormat="false" ht="14.25" hidden="false" customHeight="false" outlineLevel="0" collapsed="false">
      <c r="A67" s="10" t="s">
        <v>202</v>
      </c>
      <c r="B67" s="10" t="s">
        <v>199</v>
      </c>
      <c r="C67" s="10" t="s">
        <v>200</v>
      </c>
      <c r="D67" s="10" t="s">
        <v>201</v>
      </c>
      <c r="E67" s="10" t="s">
        <v>83</v>
      </c>
    </row>
    <row r="68" customFormat="false" ht="14.25" hidden="false" customHeight="false" outlineLevel="0" collapsed="false">
      <c r="A68" s="10" t="s">
        <v>203</v>
      </c>
      <c r="B68" s="10" t="s">
        <v>199</v>
      </c>
      <c r="C68" s="10" t="s">
        <v>200</v>
      </c>
      <c r="D68" s="10" t="s">
        <v>204</v>
      </c>
      <c r="E68" s="10" t="s">
        <v>83</v>
      </c>
    </row>
    <row r="69" customFormat="false" ht="14.25" hidden="false" customHeight="false" outlineLevel="0" collapsed="false">
      <c r="A69" s="10" t="s">
        <v>205</v>
      </c>
      <c r="B69" s="10" t="s">
        <v>199</v>
      </c>
      <c r="C69" s="10" t="s">
        <v>200</v>
      </c>
      <c r="D69" s="10" t="s">
        <v>204</v>
      </c>
      <c r="E69" s="10" t="s">
        <v>83</v>
      </c>
    </row>
    <row r="70" customFormat="false" ht="14.25" hidden="false" customHeight="false" outlineLevel="0" collapsed="false">
      <c r="A70" s="10" t="s">
        <v>206</v>
      </c>
      <c r="B70" s="10" t="s">
        <v>207</v>
      </c>
      <c r="C70" s="10" t="s">
        <v>208</v>
      </c>
      <c r="D70" s="10" t="s">
        <v>209</v>
      </c>
      <c r="E70" s="10" t="s">
        <v>83</v>
      </c>
    </row>
    <row r="71" customFormat="false" ht="14.25" hidden="false" customHeight="false" outlineLevel="0" collapsed="false">
      <c r="A71" s="10" t="s">
        <v>210</v>
      </c>
      <c r="B71" s="10" t="s">
        <v>207</v>
      </c>
      <c r="C71" s="10" t="s">
        <v>208</v>
      </c>
      <c r="D71" s="10" t="s">
        <v>211</v>
      </c>
      <c r="E71" s="10" t="s">
        <v>83</v>
      </c>
    </row>
    <row r="72" customFormat="false" ht="14.25" hidden="false" customHeight="false" outlineLevel="0" collapsed="false">
      <c r="A72" s="10" t="s">
        <v>212</v>
      </c>
      <c r="B72" s="10" t="s">
        <v>207</v>
      </c>
      <c r="C72" s="10" t="s">
        <v>208</v>
      </c>
      <c r="D72" s="10" t="s">
        <v>211</v>
      </c>
      <c r="E72" s="10" t="s">
        <v>83</v>
      </c>
    </row>
    <row r="73" customFormat="false" ht="14.25" hidden="false" customHeight="false" outlineLevel="0" collapsed="false">
      <c r="A73" s="10" t="s">
        <v>213</v>
      </c>
      <c r="B73" s="10" t="s">
        <v>214</v>
      </c>
      <c r="C73" s="10" t="s">
        <v>215</v>
      </c>
      <c r="D73" s="10" t="s">
        <v>216</v>
      </c>
      <c r="E73" s="10" t="s">
        <v>180</v>
      </c>
    </row>
    <row r="74" customFormat="false" ht="14.25" hidden="false" customHeight="false" outlineLevel="0" collapsed="false">
      <c r="A74" s="10" t="s">
        <v>217</v>
      </c>
      <c r="B74" s="10" t="s">
        <v>214</v>
      </c>
      <c r="C74" s="10" t="s">
        <v>215</v>
      </c>
      <c r="D74" s="10" t="s">
        <v>216</v>
      </c>
      <c r="E74" s="10" t="s">
        <v>180</v>
      </c>
    </row>
    <row r="75" customFormat="false" ht="14.25" hidden="false" customHeight="false" outlineLevel="0" collapsed="false">
      <c r="A75" s="10" t="s">
        <v>218</v>
      </c>
      <c r="B75" s="10" t="s">
        <v>219</v>
      </c>
      <c r="C75" s="10" t="s">
        <v>220</v>
      </c>
      <c r="D75" s="10" t="s">
        <v>221</v>
      </c>
      <c r="E75" s="10" t="s">
        <v>180</v>
      </c>
    </row>
    <row r="76" customFormat="false" ht="14.25" hidden="false" customHeight="false" outlineLevel="0" collapsed="false">
      <c r="A76" s="10" t="s">
        <v>222</v>
      </c>
      <c r="B76" s="10" t="s">
        <v>223</v>
      </c>
      <c r="C76" s="10" t="s">
        <v>224</v>
      </c>
      <c r="D76" s="10" t="s">
        <v>225</v>
      </c>
      <c r="E76" s="10" t="s">
        <v>180</v>
      </c>
    </row>
    <row r="77" customFormat="false" ht="14.25" hidden="false" customHeight="false" outlineLevel="0" collapsed="false">
      <c r="A77" s="10" t="s">
        <v>226</v>
      </c>
      <c r="B77" s="10" t="s">
        <v>223</v>
      </c>
      <c r="C77" s="10" t="s">
        <v>224</v>
      </c>
      <c r="D77" s="10" t="s">
        <v>227</v>
      </c>
      <c r="E77" s="10" t="s">
        <v>180</v>
      </c>
    </row>
    <row r="78" customFormat="false" ht="14.25" hidden="false" customHeight="false" outlineLevel="0" collapsed="false">
      <c r="A78" s="10" t="s">
        <v>228</v>
      </c>
      <c r="B78" s="10" t="s">
        <v>219</v>
      </c>
      <c r="C78" s="10" t="s">
        <v>220</v>
      </c>
      <c r="D78" s="10" t="s">
        <v>221</v>
      </c>
      <c r="E78" s="10" t="s">
        <v>180</v>
      </c>
    </row>
    <row r="79" customFormat="false" ht="14.25" hidden="false" customHeight="false" outlineLevel="0" collapsed="false">
      <c r="A79" s="10" t="s">
        <v>229</v>
      </c>
      <c r="B79" s="10" t="s">
        <v>219</v>
      </c>
      <c r="C79" s="10" t="s">
        <v>220</v>
      </c>
      <c r="D79" s="10" t="s">
        <v>230</v>
      </c>
      <c r="E79" s="10" t="s">
        <v>180</v>
      </c>
    </row>
    <row r="80" customFormat="false" ht="14.25" hidden="false" customHeight="false" outlineLevel="0" collapsed="false">
      <c r="A80" s="10" t="s">
        <v>231</v>
      </c>
      <c r="B80" s="10" t="s">
        <v>232</v>
      </c>
      <c r="C80" s="10" t="s">
        <v>233</v>
      </c>
      <c r="D80" s="10" t="s">
        <v>234</v>
      </c>
      <c r="E80" s="10" t="s">
        <v>172</v>
      </c>
    </row>
    <row r="81" customFormat="false" ht="14.25" hidden="false" customHeight="false" outlineLevel="0" collapsed="false">
      <c r="A81" s="10" t="s">
        <v>235</v>
      </c>
      <c r="B81" s="10" t="s">
        <v>232</v>
      </c>
      <c r="C81" s="10" t="s">
        <v>233</v>
      </c>
      <c r="D81" s="10" t="s">
        <v>234</v>
      </c>
      <c r="E81" s="10" t="s">
        <v>172</v>
      </c>
    </row>
    <row r="82" customFormat="false" ht="14.25" hidden="false" customHeight="false" outlineLevel="0" collapsed="false">
      <c r="A82" s="10" t="s">
        <v>236</v>
      </c>
      <c r="B82" s="10" t="s">
        <v>159</v>
      </c>
      <c r="C82" s="10" t="s">
        <v>160</v>
      </c>
      <c r="D82" s="10" t="s">
        <v>237</v>
      </c>
      <c r="E82" s="10" t="s">
        <v>139</v>
      </c>
    </row>
    <row r="83" customFormat="false" ht="14.25" hidden="false" customHeight="false" outlineLevel="0" collapsed="false">
      <c r="A83" s="10" t="s">
        <v>238</v>
      </c>
      <c r="B83" s="10" t="s">
        <v>169</v>
      </c>
      <c r="C83" s="10" t="s">
        <v>170</v>
      </c>
      <c r="D83" s="10" t="s">
        <v>175</v>
      </c>
      <c r="E83" s="10" t="s">
        <v>172</v>
      </c>
    </row>
    <row r="84" customFormat="false" ht="14.25" hidden="false" customHeight="false" outlineLevel="0" collapsed="false">
      <c r="A84" s="10" t="s">
        <v>239</v>
      </c>
      <c r="B84" s="10" t="s">
        <v>189</v>
      </c>
      <c r="C84" s="10" t="s">
        <v>190</v>
      </c>
      <c r="D84" s="10" t="s">
        <v>240</v>
      </c>
      <c r="E84" s="10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8"/>
    <col collapsed="false" customWidth="true" hidden="false" outlineLevel="0" max="6" min="6" style="0" width="14"/>
  </cols>
  <sheetData>
    <row r="1" customFormat="false" ht="14.25" hidden="false" customHeight="false" outlineLevel="0" collapsed="false">
      <c r="A1" s="11" t="s">
        <v>241</v>
      </c>
      <c r="B1" s="11" t="s">
        <v>242</v>
      </c>
      <c r="C1" s="11" t="s">
        <v>243</v>
      </c>
      <c r="D1" s="11" t="s">
        <v>244</v>
      </c>
      <c r="E1" s="11" t="s">
        <v>245</v>
      </c>
      <c r="F1" s="11" t="s">
        <v>246</v>
      </c>
    </row>
    <row r="2" customFormat="false" ht="14.25" hidden="false" customHeight="false" outlineLevel="0" collapsed="false">
      <c r="A2" s="10" t="s">
        <v>247</v>
      </c>
      <c r="B2" s="12" t="s">
        <v>248</v>
      </c>
      <c r="C2" s="12" t="s">
        <v>249</v>
      </c>
      <c r="D2" s="10" t="s">
        <v>247</v>
      </c>
      <c r="E2" s="10" t="s">
        <v>250</v>
      </c>
      <c r="F2" s="10" t="s">
        <v>247</v>
      </c>
    </row>
    <row r="3" customFormat="false" ht="14.25" hidden="false" customHeight="false" outlineLevel="0" collapsed="false">
      <c r="A3" s="10" t="s">
        <v>251</v>
      </c>
      <c r="B3" s="12" t="s">
        <v>252</v>
      </c>
      <c r="C3" s="12" t="s">
        <v>253</v>
      </c>
      <c r="D3" s="10" t="s">
        <v>251</v>
      </c>
      <c r="E3" s="10" t="s">
        <v>254</v>
      </c>
      <c r="F3" s="10" t="s">
        <v>255</v>
      </c>
    </row>
    <row r="4" customFormat="false" ht="14.25" hidden="false" customHeight="false" outlineLevel="0" collapsed="false">
      <c r="A4" s="10" t="s">
        <v>256</v>
      </c>
      <c r="B4" s="12" t="s">
        <v>257</v>
      </c>
      <c r="C4" s="12" t="s">
        <v>253</v>
      </c>
      <c r="D4" s="10" t="s">
        <v>256</v>
      </c>
      <c r="E4" s="10" t="s">
        <v>258</v>
      </c>
      <c r="F4" s="10" t="s">
        <v>255</v>
      </c>
    </row>
    <row r="5" customFormat="false" ht="14.25" hidden="false" customHeight="false" outlineLevel="0" collapsed="false">
      <c r="A5" s="10" t="s">
        <v>259</v>
      </c>
      <c r="B5" s="12" t="s">
        <v>260</v>
      </c>
      <c r="C5" s="12" t="s">
        <v>253</v>
      </c>
      <c r="D5" s="10" t="s">
        <v>259</v>
      </c>
      <c r="E5" s="10" t="s">
        <v>261</v>
      </c>
      <c r="F5" s="10" t="s">
        <v>255</v>
      </c>
    </row>
    <row r="6" customFormat="false" ht="14.25" hidden="false" customHeight="false" outlineLevel="0" collapsed="false">
      <c r="A6" s="10" t="s">
        <v>262</v>
      </c>
      <c r="B6" s="12" t="s">
        <v>263</v>
      </c>
      <c r="C6" s="12" t="s">
        <v>253</v>
      </c>
      <c r="D6" s="10" t="s">
        <v>262</v>
      </c>
      <c r="E6" s="10" t="s">
        <v>264</v>
      </c>
      <c r="F6" s="10" t="s">
        <v>255</v>
      </c>
    </row>
    <row r="7" customFormat="false" ht="14.25" hidden="false" customHeight="false" outlineLevel="0" collapsed="false">
      <c r="A7" s="10" t="s">
        <v>265</v>
      </c>
      <c r="B7" s="12" t="s">
        <v>266</v>
      </c>
      <c r="C7" s="12" t="s">
        <v>253</v>
      </c>
      <c r="D7" s="10" t="s">
        <v>265</v>
      </c>
      <c r="E7" s="10" t="s">
        <v>267</v>
      </c>
      <c r="F7" s="10" t="s">
        <v>255</v>
      </c>
    </row>
    <row r="8" customFormat="false" ht="14.25" hidden="false" customHeight="false" outlineLevel="0" collapsed="false">
      <c r="A8" s="10" t="s">
        <v>268</v>
      </c>
      <c r="B8" s="12" t="s">
        <v>269</v>
      </c>
      <c r="C8" s="12" t="s">
        <v>253</v>
      </c>
      <c r="D8" s="10" t="s">
        <v>268</v>
      </c>
      <c r="E8" s="10" t="s">
        <v>270</v>
      </c>
      <c r="F8" s="10" t="s">
        <v>255</v>
      </c>
    </row>
    <row r="9" customFormat="false" ht="14.25" hidden="false" customHeight="false" outlineLevel="0" collapsed="false">
      <c r="A9" s="10" t="s">
        <v>271</v>
      </c>
      <c r="B9" s="12" t="s">
        <v>272</v>
      </c>
      <c r="C9" s="12" t="s">
        <v>253</v>
      </c>
      <c r="D9" s="10" t="s">
        <v>271</v>
      </c>
      <c r="E9" s="10" t="s">
        <v>273</v>
      </c>
      <c r="F9" s="10" t="s">
        <v>274</v>
      </c>
    </row>
    <row r="10" customFormat="false" ht="14.25" hidden="false" customHeight="false" outlineLevel="0" collapsed="false">
      <c r="A10" s="10" t="s">
        <v>275</v>
      </c>
      <c r="B10" s="12" t="s">
        <v>276</v>
      </c>
      <c r="C10" s="12" t="s">
        <v>253</v>
      </c>
      <c r="D10" s="10" t="s">
        <v>275</v>
      </c>
      <c r="E10" s="10" t="s">
        <v>277</v>
      </c>
      <c r="F10" s="10" t="s">
        <v>274</v>
      </c>
    </row>
    <row r="11" customFormat="false" ht="14.25" hidden="false" customHeight="false" outlineLevel="0" collapsed="false">
      <c r="A11" s="10" t="s">
        <v>278</v>
      </c>
      <c r="B11" s="12" t="s">
        <v>279</v>
      </c>
      <c r="C11" s="12" t="s">
        <v>253</v>
      </c>
      <c r="D11" s="10" t="s">
        <v>278</v>
      </c>
      <c r="E11" s="10" t="s">
        <v>280</v>
      </c>
      <c r="F11" s="10" t="s">
        <v>274</v>
      </c>
    </row>
    <row r="12" customFormat="false" ht="14.25" hidden="false" customHeight="false" outlineLevel="0" collapsed="false">
      <c r="A12" s="10" t="s">
        <v>281</v>
      </c>
      <c r="B12" s="12" t="s">
        <v>282</v>
      </c>
      <c r="C12" s="12" t="s">
        <v>253</v>
      </c>
      <c r="D12" s="10" t="s">
        <v>281</v>
      </c>
      <c r="E12" s="10" t="s">
        <v>283</v>
      </c>
      <c r="F12" s="10" t="s">
        <v>274</v>
      </c>
    </row>
    <row r="13" customFormat="false" ht="14.25" hidden="false" customHeight="false" outlineLevel="0" collapsed="false">
      <c r="A13" s="10" t="s">
        <v>284</v>
      </c>
      <c r="B13" s="12" t="s">
        <v>285</v>
      </c>
      <c r="C13" s="12" t="s">
        <v>253</v>
      </c>
      <c r="D13" s="10" t="s">
        <v>284</v>
      </c>
      <c r="E13" s="10" t="s">
        <v>286</v>
      </c>
      <c r="F13" s="10" t="s">
        <v>274</v>
      </c>
    </row>
    <row r="14" customFormat="false" ht="14.25" hidden="false" customHeight="false" outlineLevel="0" collapsed="false">
      <c r="A14" s="10" t="s">
        <v>287</v>
      </c>
      <c r="B14" s="12" t="s">
        <v>288</v>
      </c>
      <c r="C14" s="12" t="s">
        <v>289</v>
      </c>
      <c r="D14" s="10" t="s">
        <v>287</v>
      </c>
      <c r="E14" s="10" t="s">
        <v>290</v>
      </c>
      <c r="F14" s="10" t="s">
        <v>274</v>
      </c>
    </row>
    <row r="15" customFormat="false" ht="14.25" hidden="false" customHeight="false" outlineLevel="0" collapsed="false">
      <c r="A15" s="10" t="s">
        <v>291</v>
      </c>
      <c r="B15" s="12" t="s">
        <v>292</v>
      </c>
      <c r="C15" s="12" t="s">
        <v>253</v>
      </c>
      <c r="D15" s="10" t="s">
        <v>291</v>
      </c>
      <c r="E15" s="10" t="s">
        <v>293</v>
      </c>
      <c r="F15" s="10" t="s">
        <v>274</v>
      </c>
    </row>
    <row r="16" customFormat="false" ht="14.25" hidden="false" customHeight="false" outlineLevel="0" collapsed="false">
      <c r="A16" s="10" t="s">
        <v>294</v>
      </c>
      <c r="B16" s="12" t="s">
        <v>295</v>
      </c>
      <c r="C16" s="12" t="s">
        <v>253</v>
      </c>
      <c r="D16" s="10" t="s">
        <v>294</v>
      </c>
      <c r="E16" s="10" t="s">
        <v>296</v>
      </c>
      <c r="F16" s="10" t="s">
        <v>297</v>
      </c>
    </row>
    <row r="17" customFormat="false" ht="14.25" hidden="false" customHeight="false" outlineLevel="0" collapsed="false">
      <c r="A17" s="10" t="s">
        <v>298</v>
      </c>
      <c r="B17" s="12" t="s">
        <v>299</v>
      </c>
      <c r="C17" s="12" t="s">
        <v>253</v>
      </c>
      <c r="D17" s="10" t="s">
        <v>298</v>
      </c>
      <c r="E17" s="10" t="s">
        <v>300</v>
      </c>
      <c r="F17" s="10" t="s">
        <v>297</v>
      </c>
    </row>
    <row r="18" customFormat="false" ht="14.25" hidden="false" customHeight="false" outlineLevel="0" collapsed="false">
      <c r="A18" s="10" t="s">
        <v>301</v>
      </c>
      <c r="B18" s="12" t="s">
        <v>302</v>
      </c>
      <c r="C18" s="12" t="s">
        <v>253</v>
      </c>
      <c r="D18" s="10" t="s">
        <v>301</v>
      </c>
      <c r="E18" s="10" t="s">
        <v>303</v>
      </c>
      <c r="F18" s="10" t="s">
        <v>297</v>
      </c>
    </row>
    <row r="19" customFormat="false" ht="14.25" hidden="false" customHeight="false" outlineLevel="0" collapsed="false">
      <c r="A19" s="10" t="s">
        <v>304</v>
      </c>
      <c r="B19" s="12" t="s">
        <v>305</v>
      </c>
      <c r="C19" s="12" t="s">
        <v>253</v>
      </c>
      <c r="D19" s="10" t="s">
        <v>304</v>
      </c>
      <c r="E19" s="10" t="s">
        <v>306</v>
      </c>
      <c r="F19" s="10" t="s">
        <v>297</v>
      </c>
    </row>
    <row r="20" customFormat="false" ht="14.25" hidden="false" customHeight="false" outlineLevel="0" collapsed="false">
      <c r="A20" s="10" t="s">
        <v>307</v>
      </c>
      <c r="B20" s="12" t="s">
        <v>308</v>
      </c>
      <c r="C20" s="12" t="s">
        <v>253</v>
      </c>
      <c r="D20" s="10" t="s">
        <v>307</v>
      </c>
      <c r="E20" s="10" t="s">
        <v>309</v>
      </c>
      <c r="F20" s="10" t="s">
        <v>297</v>
      </c>
    </row>
    <row r="21" customFormat="false" ht="14.25" hidden="false" customHeight="false" outlineLevel="0" collapsed="false">
      <c r="A21" s="10" t="s">
        <v>310</v>
      </c>
      <c r="B21" s="12" t="s">
        <v>311</v>
      </c>
      <c r="C21" s="12" t="s">
        <v>253</v>
      </c>
      <c r="D21" s="10" t="s">
        <v>310</v>
      </c>
      <c r="E21" s="10" t="s">
        <v>312</v>
      </c>
      <c r="F21" s="10" t="s">
        <v>297</v>
      </c>
    </row>
    <row r="22" customFormat="false" ht="14.25" hidden="false" customHeight="false" outlineLevel="0" collapsed="false">
      <c r="A22" s="10" t="s">
        <v>313</v>
      </c>
      <c r="B22" s="12" t="s">
        <v>314</v>
      </c>
      <c r="C22" s="12" t="s">
        <v>253</v>
      </c>
      <c r="D22" s="10" t="s">
        <v>313</v>
      </c>
      <c r="E22" s="10" t="s">
        <v>315</v>
      </c>
      <c r="F22" s="10" t="s">
        <v>297</v>
      </c>
    </row>
    <row r="23" customFormat="false" ht="14.25" hidden="false" customHeight="false" outlineLevel="0" collapsed="false">
      <c r="A23" s="10" t="s">
        <v>316</v>
      </c>
      <c r="B23" s="12" t="s">
        <v>317</v>
      </c>
      <c r="C23" s="12" t="s">
        <v>253</v>
      </c>
      <c r="D23" s="10" t="s">
        <v>316</v>
      </c>
      <c r="E23" s="10" t="s">
        <v>318</v>
      </c>
      <c r="F23" s="10" t="s">
        <v>297</v>
      </c>
    </row>
    <row r="24" customFormat="false" ht="14.25" hidden="false" customHeight="false" outlineLevel="0" collapsed="false">
      <c r="A24" s="10" t="s">
        <v>319</v>
      </c>
      <c r="B24" s="12" t="s">
        <v>320</v>
      </c>
      <c r="C24" s="12" t="s">
        <v>253</v>
      </c>
      <c r="D24" s="10" t="s">
        <v>319</v>
      </c>
      <c r="E24" s="10" t="s">
        <v>321</v>
      </c>
      <c r="F24" s="10" t="s">
        <v>297</v>
      </c>
    </row>
    <row r="25" customFormat="false" ht="14.25" hidden="false" customHeight="false" outlineLevel="0" collapsed="false">
      <c r="A25" s="10" t="s">
        <v>322</v>
      </c>
      <c r="B25" s="12" t="s">
        <v>323</v>
      </c>
      <c r="C25" s="12" t="s">
        <v>253</v>
      </c>
      <c r="D25" s="10" t="s">
        <v>322</v>
      </c>
      <c r="E25" s="10" t="s">
        <v>324</v>
      </c>
      <c r="F25" s="10" t="s">
        <v>325</v>
      </c>
    </row>
    <row r="26" customFormat="false" ht="14.25" hidden="false" customHeight="false" outlineLevel="0" collapsed="false">
      <c r="A26" s="10" t="s">
        <v>326</v>
      </c>
      <c r="B26" s="12" t="s">
        <v>327</v>
      </c>
      <c r="C26" s="12" t="s">
        <v>253</v>
      </c>
      <c r="D26" s="10" t="s">
        <v>326</v>
      </c>
      <c r="E26" s="10" t="s">
        <v>328</v>
      </c>
      <c r="F26" s="10" t="s">
        <v>325</v>
      </c>
    </row>
    <row r="27" customFormat="false" ht="14.25" hidden="false" customHeight="false" outlineLevel="0" collapsed="false">
      <c r="A27" s="10" t="s">
        <v>329</v>
      </c>
      <c r="B27" s="12" t="s">
        <v>330</v>
      </c>
      <c r="C27" s="12" t="s">
        <v>331</v>
      </c>
      <c r="D27" s="10" t="s">
        <v>329</v>
      </c>
      <c r="E27" s="10" t="s">
        <v>332</v>
      </c>
      <c r="F27" s="10" t="s">
        <v>325</v>
      </c>
    </row>
    <row r="28" customFormat="false" ht="14.25" hidden="false" customHeight="false" outlineLevel="0" collapsed="false">
      <c r="A28" s="10" t="s">
        <v>333</v>
      </c>
      <c r="B28" s="12" t="s">
        <v>334</v>
      </c>
      <c r="C28" s="12" t="s">
        <v>331</v>
      </c>
      <c r="D28" s="10" t="s">
        <v>333</v>
      </c>
      <c r="E28" s="10" t="s">
        <v>335</v>
      </c>
      <c r="F28" s="10" t="s">
        <v>325</v>
      </c>
    </row>
    <row r="29" customFormat="false" ht="14.25" hidden="false" customHeight="false" outlineLevel="0" collapsed="false">
      <c r="A29" s="10" t="s">
        <v>336</v>
      </c>
      <c r="B29" s="12" t="s">
        <v>337</v>
      </c>
      <c r="C29" s="12" t="s">
        <v>253</v>
      </c>
      <c r="D29" s="10" t="s">
        <v>336</v>
      </c>
      <c r="E29" s="10" t="s">
        <v>338</v>
      </c>
      <c r="F29" s="10" t="s">
        <v>325</v>
      </c>
    </row>
    <row r="30" customFormat="false" ht="14.25" hidden="false" customHeight="false" outlineLevel="0" collapsed="false">
      <c r="A30" s="10" t="s">
        <v>339</v>
      </c>
      <c r="B30" s="12" t="s">
        <v>340</v>
      </c>
      <c r="C30" s="12" t="s">
        <v>253</v>
      </c>
      <c r="D30" s="10" t="s">
        <v>339</v>
      </c>
      <c r="E30" s="10" t="s">
        <v>341</v>
      </c>
      <c r="F30" s="10" t="s">
        <v>325</v>
      </c>
    </row>
    <row r="31" customFormat="false" ht="14.25" hidden="false" customHeight="false" outlineLevel="0" collapsed="false">
      <c r="A31" s="10" t="s">
        <v>342</v>
      </c>
      <c r="B31" s="12" t="s">
        <v>343</v>
      </c>
      <c r="C31" s="12" t="s">
        <v>253</v>
      </c>
      <c r="D31" s="10" t="s">
        <v>342</v>
      </c>
      <c r="E31" s="10" t="s">
        <v>344</v>
      </c>
      <c r="F31" s="10" t="s">
        <v>325</v>
      </c>
    </row>
    <row r="32" customFormat="false" ht="14.25" hidden="false" customHeight="false" outlineLevel="0" collapsed="false">
      <c r="A32" s="10" t="s">
        <v>345</v>
      </c>
      <c r="B32" s="12" t="s">
        <v>346</v>
      </c>
      <c r="C32" s="12" t="s">
        <v>253</v>
      </c>
      <c r="D32" s="10" t="s">
        <v>345</v>
      </c>
      <c r="E32" s="10" t="s">
        <v>347</v>
      </c>
      <c r="F32" s="10" t="s">
        <v>348</v>
      </c>
    </row>
    <row r="33" customFormat="false" ht="14.25" hidden="false" customHeight="false" outlineLevel="0" collapsed="false">
      <c r="A33" s="10" t="s">
        <v>349</v>
      </c>
      <c r="B33" s="12" t="s">
        <v>350</v>
      </c>
      <c r="C33" s="12" t="s">
        <v>253</v>
      </c>
      <c r="D33" s="10" t="s">
        <v>349</v>
      </c>
      <c r="E33" s="10" t="s">
        <v>351</v>
      </c>
      <c r="F33" s="10" t="s">
        <v>348</v>
      </c>
    </row>
    <row r="34" customFormat="false" ht="14.25" hidden="false" customHeight="false" outlineLevel="0" collapsed="false">
      <c r="A34" s="10" t="s">
        <v>352</v>
      </c>
      <c r="B34" s="12" t="s">
        <v>353</v>
      </c>
      <c r="C34" s="12" t="s">
        <v>253</v>
      </c>
      <c r="D34" s="10" t="s">
        <v>352</v>
      </c>
      <c r="E34" s="10" t="s">
        <v>354</v>
      </c>
      <c r="F34" s="10" t="s">
        <v>348</v>
      </c>
    </row>
    <row r="35" customFormat="false" ht="14.25" hidden="false" customHeight="false" outlineLevel="0" collapsed="false">
      <c r="A35" s="10" t="s">
        <v>355</v>
      </c>
      <c r="B35" s="12" t="s">
        <v>356</v>
      </c>
      <c r="C35" s="12" t="s">
        <v>253</v>
      </c>
      <c r="D35" s="10" t="s">
        <v>355</v>
      </c>
      <c r="E35" s="10" t="s">
        <v>357</v>
      </c>
      <c r="F35" s="10" t="s">
        <v>348</v>
      </c>
    </row>
    <row r="36" customFormat="false" ht="14.25" hidden="false" customHeight="false" outlineLevel="0" collapsed="false">
      <c r="A36" s="10" t="s">
        <v>358</v>
      </c>
      <c r="B36" s="12" t="s">
        <v>359</v>
      </c>
      <c r="C36" s="12" t="s">
        <v>253</v>
      </c>
      <c r="D36" s="10" t="s">
        <v>358</v>
      </c>
      <c r="E36" s="10" t="s">
        <v>360</v>
      </c>
      <c r="F36" s="10" t="s">
        <v>348</v>
      </c>
    </row>
    <row r="37" customFormat="false" ht="14.25" hidden="false" customHeight="false" outlineLevel="0" collapsed="false">
      <c r="A37" s="10" t="s">
        <v>361</v>
      </c>
      <c r="B37" s="12" t="s">
        <v>362</v>
      </c>
      <c r="C37" s="12" t="s">
        <v>253</v>
      </c>
      <c r="D37" s="10" t="s">
        <v>361</v>
      </c>
      <c r="E37" s="10" t="s">
        <v>363</v>
      </c>
      <c r="F37" s="10" t="s">
        <v>364</v>
      </c>
    </row>
    <row r="38" customFormat="false" ht="14.25" hidden="false" customHeight="false" outlineLevel="0" collapsed="false">
      <c r="A38" s="10" t="s">
        <v>365</v>
      </c>
      <c r="B38" s="12" t="s">
        <v>366</v>
      </c>
      <c r="C38" s="12" t="s">
        <v>253</v>
      </c>
      <c r="D38" s="10" t="s">
        <v>365</v>
      </c>
      <c r="E38" s="10" t="s">
        <v>367</v>
      </c>
      <c r="F38" s="10" t="s">
        <v>364</v>
      </c>
    </row>
    <row r="39" customFormat="false" ht="14.25" hidden="false" customHeight="false" outlineLevel="0" collapsed="false">
      <c r="A39" s="10" t="s">
        <v>368</v>
      </c>
      <c r="B39" s="12" t="s">
        <v>369</v>
      </c>
      <c r="C39" s="12" t="s">
        <v>253</v>
      </c>
      <c r="D39" s="10" t="s">
        <v>368</v>
      </c>
      <c r="E39" s="10" t="s">
        <v>370</v>
      </c>
      <c r="F39" s="10" t="s">
        <v>364</v>
      </c>
    </row>
    <row r="40" customFormat="false" ht="14.25" hidden="false" customHeight="false" outlineLevel="0" collapsed="false">
      <c r="A40" s="10" t="s">
        <v>371</v>
      </c>
      <c r="B40" s="12" t="s">
        <v>372</v>
      </c>
      <c r="C40" s="12" t="s">
        <v>253</v>
      </c>
      <c r="D40" s="10" t="s">
        <v>371</v>
      </c>
      <c r="E40" s="10" t="s">
        <v>373</v>
      </c>
      <c r="F40" s="10" t="s">
        <v>364</v>
      </c>
    </row>
    <row r="41" customFormat="false" ht="14.25" hidden="false" customHeight="false" outlineLevel="0" collapsed="false">
      <c r="A41" s="10" t="s">
        <v>374</v>
      </c>
      <c r="B41" s="12" t="s">
        <v>375</v>
      </c>
      <c r="C41" s="12" t="s">
        <v>253</v>
      </c>
      <c r="D41" s="10" t="s">
        <v>374</v>
      </c>
      <c r="E41" s="10" t="s">
        <v>376</v>
      </c>
      <c r="F41" s="10" t="s">
        <v>377</v>
      </c>
    </row>
    <row r="42" customFormat="false" ht="14.25" hidden="false" customHeight="false" outlineLevel="0" collapsed="false">
      <c r="A42" s="10" t="s">
        <v>378</v>
      </c>
      <c r="B42" s="12" t="s">
        <v>379</v>
      </c>
      <c r="C42" s="12" t="s">
        <v>253</v>
      </c>
      <c r="D42" s="10" t="s">
        <v>378</v>
      </c>
      <c r="E42" s="10" t="s">
        <v>380</v>
      </c>
      <c r="F42" s="10" t="s">
        <v>377</v>
      </c>
    </row>
    <row r="43" customFormat="false" ht="14.25" hidden="false" customHeight="false" outlineLevel="0" collapsed="false">
      <c r="A43" s="10" t="s">
        <v>381</v>
      </c>
      <c r="B43" s="12" t="s">
        <v>382</v>
      </c>
      <c r="C43" s="12" t="s">
        <v>253</v>
      </c>
      <c r="D43" s="10" t="s">
        <v>381</v>
      </c>
      <c r="E43" s="10" t="s">
        <v>383</v>
      </c>
      <c r="F43" s="10" t="s">
        <v>377</v>
      </c>
    </row>
    <row r="44" customFormat="false" ht="14.25" hidden="false" customHeight="false" outlineLevel="0" collapsed="false">
      <c r="A44" s="10" t="s">
        <v>384</v>
      </c>
      <c r="B44" s="12" t="s">
        <v>385</v>
      </c>
      <c r="C44" s="12" t="s">
        <v>253</v>
      </c>
      <c r="D44" s="10" t="s">
        <v>384</v>
      </c>
      <c r="E44" s="10" t="s">
        <v>386</v>
      </c>
      <c r="F44" s="10" t="s">
        <v>377</v>
      </c>
    </row>
    <row r="45" customFormat="false" ht="14.25" hidden="false" customHeight="false" outlineLevel="0" collapsed="false">
      <c r="A45" s="10" t="s">
        <v>387</v>
      </c>
      <c r="B45" s="12" t="s">
        <v>388</v>
      </c>
      <c r="C45" s="12" t="s">
        <v>253</v>
      </c>
      <c r="D45" s="10" t="s">
        <v>387</v>
      </c>
      <c r="E45" s="10" t="s">
        <v>389</v>
      </c>
      <c r="F45" s="10" t="s">
        <v>377</v>
      </c>
    </row>
    <row r="46" customFormat="false" ht="14.25" hidden="false" customHeight="false" outlineLevel="0" collapsed="false">
      <c r="A46" s="10" t="s">
        <v>390</v>
      </c>
      <c r="B46" s="12" t="s">
        <v>391</v>
      </c>
      <c r="C46" s="12" t="s">
        <v>253</v>
      </c>
      <c r="D46" s="10" t="s">
        <v>390</v>
      </c>
      <c r="E46" s="10" t="s">
        <v>392</v>
      </c>
      <c r="F46" s="10" t="s">
        <v>377</v>
      </c>
    </row>
    <row r="47" customFormat="false" ht="14.25" hidden="false" customHeight="false" outlineLevel="0" collapsed="false">
      <c r="A47" s="10" t="s">
        <v>393</v>
      </c>
      <c r="B47" s="12" t="s">
        <v>394</v>
      </c>
      <c r="C47" s="12" t="s">
        <v>253</v>
      </c>
      <c r="D47" s="10" t="s">
        <v>393</v>
      </c>
      <c r="E47" s="10" t="s">
        <v>395</v>
      </c>
      <c r="F47" s="10" t="s">
        <v>377</v>
      </c>
    </row>
    <row r="48" customFormat="false" ht="14.25" hidden="false" customHeight="false" outlineLevel="0" collapsed="false">
      <c r="A48" s="10" t="s">
        <v>396</v>
      </c>
      <c r="B48" s="12" t="s">
        <v>397</v>
      </c>
      <c r="C48" s="12" t="s">
        <v>253</v>
      </c>
      <c r="D48" s="10" t="s">
        <v>396</v>
      </c>
      <c r="E48" s="10" t="s">
        <v>398</v>
      </c>
      <c r="F48" s="10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8" min="1" style="0" width="28"/>
  </cols>
  <sheetData>
    <row r="1" customFormat="false" ht="14.25" hidden="false" customHeight="false" outlineLevel="0" collapsed="false">
      <c r="A1" s="13" t="s">
        <v>2</v>
      </c>
      <c r="B1" s="13" t="s">
        <v>10</v>
      </c>
      <c r="C1" s="13" t="s">
        <v>11</v>
      </c>
      <c r="D1" s="13" t="s">
        <v>14</v>
      </c>
      <c r="E1" s="13" t="s">
        <v>399</v>
      </c>
      <c r="F1" s="13" t="s">
        <v>18</v>
      </c>
      <c r="G1" s="13" t="s">
        <v>45</v>
      </c>
      <c r="H1" s="13" t="s">
        <v>48</v>
      </c>
    </row>
    <row r="2" customFormat="false" ht="14.25" hidden="false" customHeight="false" outlineLevel="0" collapsed="false">
      <c r="A2" s="14" t="s">
        <v>400</v>
      </c>
      <c r="B2" s="14" t="s">
        <v>401</v>
      </c>
      <c r="C2" s="14" t="s">
        <v>402</v>
      </c>
      <c r="D2" s="14" t="s">
        <v>403</v>
      </c>
      <c r="E2" s="14" t="s">
        <v>404</v>
      </c>
      <c r="F2" s="14" t="s">
        <v>405</v>
      </c>
      <c r="G2" s="14" t="s">
        <v>404</v>
      </c>
      <c r="H2" s="14" t="s">
        <v>406</v>
      </c>
    </row>
    <row r="3" customFormat="false" ht="14.25" hidden="false" customHeight="false" outlineLevel="0" collapsed="false">
      <c r="A3" s="14" t="s">
        <v>407</v>
      </c>
      <c r="B3" s="14" t="s">
        <v>408</v>
      </c>
      <c r="C3" s="14" t="s">
        <v>401</v>
      </c>
      <c r="D3" s="14" t="s">
        <v>409</v>
      </c>
      <c r="E3" s="14" t="s">
        <v>410</v>
      </c>
      <c r="F3" s="14" t="s">
        <v>411</v>
      </c>
      <c r="G3" s="14" t="s">
        <v>410</v>
      </c>
      <c r="H3" s="14" t="s">
        <v>412</v>
      </c>
    </row>
    <row r="4" customFormat="false" ht="14.25" hidden="false" customHeight="false" outlineLevel="0" collapsed="false">
      <c r="A4" s="14" t="s">
        <v>413</v>
      </c>
      <c r="B4" s="14" t="s">
        <v>414</v>
      </c>
      <c r="C4" s="14" t="s">
        <v>415</v>
      </c>
      <c r="D4" s="14" t="s">
        <v>416</v>
      </c>
      <c r="E4" s="14" t="s">
        <v>417</v>
      </c>
      <c r="F4" s="14" t="s">
        <v>418</v>
      </c>
    </row>
    <row r="5" customFormat="false" ht="14.25" hidden="false" customHeight="false" outlineLevel="0" collapsed="false">
      <c r="A5" s="14" t="s">
        <v>419</v>
      </c>
      <c r="B5" s="14" t="s">
        <v>420</v>
      </c>
      <c r="C5" s="14" t="s">
        <v>421</v>
      </c>
      <c r="D5" s="14" t="s">
        <v>422</v>
      </c>
      <c r="F5" s="14" t="s">
        <v>423</v>
      </c>
    </row>
    <row r="6" customFormat="false" ht="14.25" hidden="false" customHeight="false" outlineLevel="0" collapsed="false">
      <c r="A6" s="14" t="s">
        <v>424</v>
      </c>
      <c r="B6" s="14" t="s">
        <v>425</v>
      </c>
      <c r="C6" s="14" t="s">
        <v>426</v>
      </c>
      <c r="D6" s="14" t="s">
        <v>427</v>
      </c>
    </row>
    <row r="7" customFormat="false" ht="14.25" hidden="false" customHeight="false" outlineLevel="0" collapsed="false">
      <c r="A7" s="14" t="s">
        <v>428</v>
      </c>
      <c r="B7" s="14" t="s">
        <v>429</v>
      </c>
      <c r="C7" s="14" t="s">
        <v>430</v>
      </c>
    </row>
    <row r="8" customFormat="false" ht="14.25" hidden="false" customHeight="false" outlineLevel="0" collapsed="false">
      <c r="A8" s="14" t="s">
        <v>431</v>
      </c>
      <c r="B8" s="14" t="s">
        <v>432</v>
      </c>
      <c r="C8" s="14" t="s">
        <v>433</v>
      </c>
    </row>
    <row r="9" customFormat="false" ht="14.25" hidden="false" customHeight="false" outlineLevel="0" collapsed="false">
      <c r="A9" s="14" t="s">
        <v>423</v>
      </c>
      <c r="B9" s="14" t="s">
        <v>434</v>
      </c>
      <c r="C9" s="14" t="s">
        <v>435</v>
      </c>
    </row>
    <row r="10" customFormat="false" ht="14.25" hidden="false" customHeight="false" outlineLevel="0" collapsed="false">
      <c r="B10" s="14" t="s">
        <v>436</v>
      </c>
      <c r="C10" s="14" t="s">
        <v>437</v>
      </c>
    </row>
    <row r="11" customFormat="false" ht="14.25" hidden="false" customHeight="false" outlineLevel="0" collapsed="false">
      <c r="B11" s="14" t="s">
        <v>438</v>
      </c>
      <c r="C11" s="14" t="s">
        <v>439</v>
      </c>
    </row>
    <row r="12" customFormat="false" ht="14.25" hidden="false" customHeight="false" outlineLevel="0" collapsed="false">
      <c r="B12" s="14" t="s">
        <v>440</v>
      </c>
      <c r="C12" s="14" t="s">
        <v>423</v>
      </c>
    </row>
    <row r="13" customFormat="false" ht="14.25" hidden="false" customHeight="false" outlineLevel="0" collapsed="false">
      <c r="B13" s="14" t="s">
        <v>441</v>
      </c>
    </row>
    <row r="14" customFormat="false" ht="14.25" hidden="false" customHeight="false" outlineLevel="0" collapsed="false">
      <c r="B14" s="14" t="s">
        <v>442</v>
      </c>
    </row>
    <row r="15" customFormat="false" ht="14.25" hidden="false" customHeight="false" outlineLevel="0" collapsed="false">
      <c r="B15" s="14" t="s">
        <v>443</v>
      </c>
    </row>
    <row r="16" customFormat="false" ht="14.25" hidden="false" customHeight="false" outlineLevel="0" collapsed="false">
      <c r="B16" s="14" t="s">
        <v>444</v>
      </c>
    </row>
    <row r="17" customFormat="false" ht="14.25" hidden="false" customHeight="false" outlineLevel="0" collapsed="false">
      <c r="B17" s="14" t="s">
        <v>445</v>
      </c>
    </row>
    <row r="18" customFormat="false" ht="14.25" hidden="false" customHeight="false" outlineLevel="0" collapsed="false">
      <c r="B18" s="14" t="s">
        <v>423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2"/>
  </cols>
  <sheetData>
    <row r="1" customFormat="false" ht="21.75" hidden="false" customHeight="true" outlineLevel="0" collapsed="false">
      <c r="A1" s="15" t="s">
        <v>446</v>
      </c>
      <c r="B1" s="15"/>
    </row>
    <row r="2" customFormat="false" ht="43.5" hidden="false" customHeight="true" outlineLevel="0" collapsed="false">
      <c r="A2" s="16" t="s">
        <v>447</v>
      </c>
      <c r="B2" s="17" t="s">
        <v>448</v>
      </c>
    </row>
    <row r="3" customFormat="false" ht="43.5" hidden="false" customHeight="true" outlineLevel="0" collapsed="false">
      <c r="A3" s="16" t="s">
        <v>449</v>
      </c>
      <c r="B3" s="17" t="s">
        <v>450</v>
      </c>
    </row>
    <row r="4" customFormat="false" ht="43.5" hidden="false" customHeight="true" outlineLevel="0" collapsed="false">
      <c r="A4" s="16" t="s">
        <v>451</v>
      </c>
      <c r="B4" s="17" t="s">
        <v>452</v>
      </c>
    </row>
    <row r="5" customFormat="false" ht="43.5" hidden="false" customHeight="true" outlineLevel="0" collapsed="false">
      <c r="A5" s="16" t="s">
        <v>453</v>
      </c>
      <c r="B5" s="17" t="s">
        <v>454</v>
      </c>
    </row>
    <row r="7" customFormat="false" ht="21.75" hidden="false" customHeight="true" outlineLevel="0" collapsed="false">
      <c r="A7" s="15" t="s">
        <v>455</v>
      </c>
      <c r="B7" s="15"/>
    </row>
    <row r="8" customFormat="false" ht="43.5" hidden="false" customHeight="true" outlineLevel="0" collapsed="false">
      <c r="A8" s="16" t="s">
        <v>456</v>
      </c>
      <c r="B8" s="17" t="s">
        <v>457</v>
      </c>
    </row>
    <row r="9" customFormat="false" ht="43.5" hidden="false" customHeight="true" outlineLevel="0" collapsed="false">
      <c r="A9" s="16" t="s">
        <v>458</v>
      </c>
      <c r="B9" s="17" t="s">
        <v>459</v>
      </c>
    </row>
    <row r="10" customFormat="false" ht="43.5" hidden="false" customHeight="true" outlineLevel="0" collapsed="false">
      <c r="A10" s="16" t="s">
        <v>460</v>
      </c>
      <c r="B10" s="17" t="s">
        <v>461</v>
      </c>
    </row>
    <row r="11" customFormat="false" ht="43.5" hidden="false" customHeight="true" outlineLevel="0" collapsed="false">
      <c r="A11" s="16" t="s">
        <v>462</v>
      </c>
      <c r="B11" s="17" t="s">
        <v>463</v>
      </c>
    </row>
    <row r="12" customFormat="false" ht="43.5" hidden="false" customHeight="true" outlineLevel="0" collapsed="false">
      <c r="A12" s="16" t="s">
        <v>464</v>
      </c>
      <c r="B12" s="17" t="s">
        <v>465</v>
      </c>
    </row>
    <row r="14" customFormat="false" ht="21.75" hidden="false" customHeight="true" outlineLevel="0" collapsed="false">
      <c r="A14" s="15" t="s">
        <v>466</v>
      </c>
      <c r="B14" s="15"/>
    </row>
    <row r="15" customFormat="false" ht="43.5" hidden="false" customHeight="true" outlineLevel="0" collapsed="false">
      <c r="A15" s="16" t="s">
        <v>467</v>
      </c>
      <c r="B15" s="17" t="s">
        <v>468</v>
      </c>
    </row>
    <row r="16" customFormat="false" ht="43.5" hidden="false" customHeight="true" outlineLevel="0" collapsed="false">
      <c r="A16" s="16" t="s">
        <v>469</v>
      </c>
      <c r="B16" s="17" t="s">
        <v>470</v>
      </c>
    </row>
    <row r="18" customFormat="false" ht="21.75" hidden="false" customHeight="true" outlineLevel="0" collapsed="false">
      <c r="A18" s="15" t="s">
        <v>471</v>
      </c>
      <c r="B18" s="15"/>
    </row>
    <row r="19" customFormat="false" ht="43.5" hidden="false" customHeight="true" outlineLevel="0" collapsed="false">
      <c r="A19" s="16" t="s">
        <v>472</v>
      </c>
      <c r="B19" s="17" t="s">
        <v>473</v>
      </c>
    </row>
    <row r="20" customFormat="false" ht="43.5" hidden="false" customHeight="true" outlineLevel="0" collapsed="false">
      <c r="A20" s="16" t="s">
        <v>469</v>
      </c>
      <c r="B20" s="17" t="s">
        <v>474</v>
      </c>
    </row>
    <row r="22" customFormat="false" ht="21.75" hidden="false" customHeight="true" outlineLevel="0" collapsed="false">
      <c r="A22" s="15" t="s">
        <v>475</v>
      </c>
      <c r="B22" s="15"/>
    </row>
    <row r="23" customFormat="false" ht="43.5" hidden="false" customHeight="true" outlineLevel="0" collapsed="false">
      <c r="A23" s="16" t="s">
        <v>476</v>
      </c>
      <c r="B23" s="17" t="s">
        <v>477</v>
      </c>
    </row>
    <row r="24" customFormat="false" ht="43.5" hidden="false" customHeight="true" outlineLevel="0" collapsed="false">
      <c r="A24" s="16" t="s">
        <v>469</v>
      </c>
      <c r="B24" s="17" t="s">
        <v>478</v>
      </c>
    </row>
    <row r="25" customFormat="false" ht="43.5" hidden="false" customHeight="true" outlineLevel="0" collapsed="false">
      <c r="A25" s="16" t="s">
        <v>479</v>
      </c>
      <c r="B25" s="17" t="s">
        <v>480</v>
      </c>
    </row>
  </sheetData>
  <mergeCells count="5">
    <mergeCell ref="A1:B1"/>
    <mergeCell ref="A7:B7"/>
    <mergeCell ref="A14:B14"/>
    <mergeCell ref="A18:B18"/>
    <mergeCell ref="A22:B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2026-07-15T07:17:19Z</dcterms:created>
  <dc:creator>openpyxl</dc:creator>
  <dc:description/>
  <dc:language>en-US</dc:language>
  <cp:lastModifiedBy>The Digital Systems Architect</cp:lastModifiedBy>
  <dcterms:modified xsi:type="dcterms:W3CDTF">2026-10-16T06:07:42Z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