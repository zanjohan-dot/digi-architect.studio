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https://d.docs.live.net/484e979553f554ca/Documents/Desktop/"/>
    </mc:Choice>
  </mc:AlternateContent>
  <xr:revisionPtr revIDLastSave="0" documentId="13_ncr:20001_{BF06D7F8-42F3-49A8-A8F1-DD7E27E9A4F8}" xr6:coauthVersionLast="47" xr6:coauthVersionMax="47" xr10:uidLastSave="{00000000-0000-0000-0000-000000000000}"/>
  <bookViews>
    <workbookView minimized="1" xWindow="1485" yWindow="593" windowWidth="16193" windowHeight="13282" xr2:uid="{00000000-000D-0000-FFFF-FFFF00000000}"/>
  </bookViews>
  <sheets>
    <sheet name="Establishments" sheetId="1" r:id="rId1"/>
    <sheet name="Singapore_Postal_Lookup" sheetId="2" r:id="rId2"/>
    <sheet name="Japan_Prefecture_Lookup" sheetId="3" r:id="rId3"/>
    <sheet name="Lists" sheetId="4" r:id="rId4"/>
    <sheet name="Instructions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9" i="1" l="1"/>
  <c r="AW9" i="1"/>
  <c r="AU9" i="1"/>
  <c r="F9" i="1"/>
  <c r="A9" i="1"/>
  <c r="AV9" i="1" s="1"/>
  <c r="AX8" i="1"/>
  <c r="AW8" i="1"/>
  <c r="AU8" i="1"/>
  <c r="F8" i="1"/>
  <c r="A8" i="1"/>
  <c r="AV8" i="1" s="1"/>
  <c r="AX7" i="1"/>
  <c r="AW7" i="1"/>
  <c r="AU7" i="1"/>
  <c r="F7" i="1"/>
  <c r="A7" i="1"/>
  <c r="AV7" i="1" s="1"/>
  <c r="AX6" i="1"/>
  <c r="AW6" i="1"/>
  <c r="AU6" i="1"/>
  <c r="F6" i="1"/>
  <c r="A6" i="1"/>
  <c r="AV6" i="1" s="1"/>
  <c r="AX5" i="1"/>
  <c r="AW5" i="1"/>
  <c r="AV5" i="1"/>
  <c r="AU5" i="1"/>
  <c r="F5" i="1"/>
  <c r="A5" i="1"/>
  <c r="AX4" i="1"/>
  <c r="AW4" i="1"/>
  <c r="AV4" i="1"/>
  <c r="AU4" i="1"/>
  <c r="F4" i="1"/>
  <c r="A4" i="1"/>
  <c r="AX3" i="1"/>
  <c r="AW3" i="1"/>
  <c r="AV3" i="1"/>
  <c r="AU3" i="1"/>
  <c r="F3" i="1"/>
  <c r="A3" i="1"/>
  <c r="AX2" i="1"/>
  <c r="AW2" i="1"/>
  <c r="AV2" i="1"/>
  <c r="AU2" i="1"/>
  <c r="F2" i="1"/>
  <c r="A2" i="1"/>
</calcChain>
</file>

<file path=xl/sharedStrings.xml><?xml version="1.0" encoding="utf-8"?>
<sst xmlns="http://schemas.openxmlformats.org/spreadsheetml/2006/main" count="1078" uniqueCount="538">
  <si>
    <t>ID</t>
  </si>
  <si>
    <t>Name</t>
  </si>
  <si>
    <t>Country</t>
  </si>
  <si>
    <t>Address</t>
  </si>
  <si>
    <t>Postal Code</t>
  </si>
  <si>
    <t>Postal Prefix</t>
  </si>
  <si>
    <t>Area / Prefecture Override</t>
  </si>
  <si>
    <t>Area / Prefecture</t>
  </si>
  <si>
    <t>Postal Sector</t>
  </si>
  <si>
    <t>Postal District</t>
  </si>
  <si>
    <t>Cuisine</t>
  </si>
  <si>
    <t>Establishment Type</t>
  </si>
  <si>
    <t>Latitude</t>
  </si>
  <si>
    <t>Longitude</t>
  </si>
  <si>
    <t>Listing Status</t>
  </si>
  <si>
    <t>Basis of Listing</t>
  </si>
  <si>
    <t>Halal Certified</t>
  </si>
  <si>
    <t>Certification Status</t>
  </si>
  <si>
    <t>Certifying Body</t>
  </si>
  <si>
    <t>Certificate Expiry</t>
  </si>
  <si>
    <t>No Pork Declared</t>
  </si>
  <si>
    <t>No Lard Declared</t>
  </si>
  <si>
    <t>Halal-Certified Meat</t>
  </si>
  <si>
    <t>Alcohol Served</t>
  </si>
  <si>
    <t>Alcohol in Menu</t>
  </si>
  <si>
    <t>Shared Kitchen</t>
  </si>
  <si>
    <t>Shared Utensils</t>
  </si>
  <si>
    <t>Shared Fryer</t>
  </si>
  <si>
    <t>Shared Grill</t>
  </si>
  <si>
    <t>Prayer Space</t>
  </si>
  <si>
    <t>Prayer Mat</t>
  </si>
  <si>
    <t>Qibla Direction</t>
  </si>
  <si>
    <t>Water Facilities</t>
  </si>
  <si>
    <t>Declaration Text Override</t>
  </si>
  <si>
    <t>Declaration Text</t>
  </si>
  <si>
    <t>Cross-Contact Note</t>
  </si>
  <si>
    <t>Additional Notes</t>
  </si>
  <si>
    <t>Declaration Date</t>
  </si>
  <si>
    <t>Last Updated</t>
  </si>
  <si>
    <t>Website URL</t>
  </si>
  <si>
    <t>Instagram URL</t>
  </si>
  <si>
    <t>Location URL</t>
  </si>
  <si>
    <t>Directions URL</t>
  </si>
  <si>
    <t>Reviews URL</t>
  </si>
  <si>
    <t>Image URL</t>
  </si>
  <si>
    <t>Is Demo</t>
  </si>
  <si>
    <t>Demo Disclaimer</t>
  </si>
  <si>
    <t>Data Completeness</t>
  </si>
  <si>
    <t>Map Ready</t>
  </si>
  <si>
    <t>Record Validation</t>
  </si>
  <si>
    <t>Ember &amp; Grain Café</t>
  </si>
  <si>
    <t>Singapore</t>
  </si>
  <si>
    <t>24 Tras Street, Singapore</t>
  </si>
  <si>
    <t>078975</t>
  </si>
  <si>
    <t>Tanjong Pagar</t>
  </si>
  <si>
    <t>S2</t>
  </si>
  <si>
    <t>D2</t>
  </si>
  <si>
    <t>Café / Brunch</t>
  </si>
  <si>
    <t>Café</t>
  </si>
  <si>
    <t>Self-declared Muslim-friendly</t>
  </si>
  <si>
    <t>Independent self-declaration</t>
  </si>
  <si>
    <t>FALSE</t>
  </si>
  <si>
    <t>Not halal-certified</t>
  </si>
  <si>
    <t>TRUE</t>
  </si>
  <si>
    <t>The establishment declares that pork and lard are not used and that meat is sourced from halal-certified suppliers. Alcohol is not served on the premises.</t>
  </si>
  <si>
    <t>Contact the establishment directly regarding allergens or shared equipment.</t>
  </si>
  <si>
    <t>2026-06-01</t>
  </si>
  <si>
    <t>2026-07-01</t>
  </si>
  <si>
    <t>Harbour Table</t>
  </si>
  <si>
    <t>8 Marina View, Singapore</t>
  </si>
  <si>
    <t>018960</t>
  </si>
  <si>
    <t>Marina Bay</t>
  </si>
  <si>
    <t>S1</t>
  </si>
  <si>
    <t>D1</t>
  </si>
  <si>
    <t>International</t>
  </si>
  <si>
    <t>Restaurant</t>
  </si>
  <si>
    <t>The establishment declares that pork and lard are not used and that meat is sourced from halal-certified suppliers. Alcohol is served on the premises, and relevant alcohol-containing menu items are disclosed.</t>
  </si>
  <si>
    <t>Contact regarding preparation areas.</t>
  </si>
  <si>
    <t>Alcohol menu items clearly labelled.</t>
  </si>
  <si>
    <t>2026-05-15</t>
  </si>
  <si>
    <t>2026-07-05</t>
  </si>
  <si>
    <t>Orchard Pantry</t>
  </si>
  <si>
    <t>176 Orchard Road, Singapore</t>
  </si>
  <si>
    <t>238843</t>
  </si>
  <si>
    <t>Orchard</t>
  </si>
  <si>
    <t>S9</t>
  </si>
  <si>
    <t>D9</t>
  </si>
  <si>
    <t>Fusion</t>
  </si>
  <si>
    <t>The establishment declares that pork and lard are not used. Alcohol is not served on the premises.</t>
  </si>
  <si>
    <t>Verify meat sourcing directly with the establishment.</t>
  </si>
  <si>
    <t>2026-04-20</t>
  </si>
  <si>
    <t>2026-06-30</t>
  </si>
  <si>
    <t>Northlight Kitchen</t>
  </si>
  <si>
    <t>30 Woodlands Avenue 2, Singapore</t>
  </si>
  <si>
    <t>738343</t>
  </si>
  <si>
    <t>Woodlands</t>
  </si>
  <si>
    <t>S25</t>
  </si>
  <si>
    <t>D25</t>
  </si>
  <si>
    <t>Local / Hawker</t>
  </si>
  <si>
    <t>Casual Dining</t>
  </si>
  <si>
    <t>The establishment declares that pork and lard are not used and that meat is sourced from halal-certified suppliers. Alcohol is not served on the premises. Prayer space is available. Prayer mats are available. Qibla direction is indicated. Water facilities are available.</t>
  </si>
  <si>
    <t>Prayer facilities available on request.</t>
  </si>
  <si>
    <t>2026-03-10</t>
  </si>
  <si>
    <t>2026-07-10</t>
  </si>
  <si>
    <t>East Coast Social</t>
  </si>
  <si>
    <t>1220 East Coast Parkway, Singapore</t>
  </si>
  <si>
    <t>449875</t>
  </si>
  <si>
    <t>Katong</t>
  </si>
  <si>
    <t>S15</t>
  </si>
  <si>
    <t>D15</t>
  </si>
  <si>
    <t>Western</t>
  </si>
  <si>
    <t>Bar &amp; Grill</t>
  </si>
  <si>
    <t>The establishment declares that pork and lard are not used and that meat is sourced from halal-certified suppliers. Alcohol is served on the premises, and relevant alcohol-containing menu items are disclosed. A shared fryer is used.</t>
  </si>
  <si>
    <t>Fried items prepared in a shared fryer.</t>
  </si>
  <si>
    <t>2026-05-01</t>
  </si>
  <si>
    <t>2026-06-25</t>
  </si>
  <si>
    <t>Sakura Dining House</t>
  </si>
  <si>
    <t>4 Tampines Central 5, Singapore</t>
  </si>
  <si>
    <t>529588</t>
  </si>
  <si>
    <t>Tampines</t>
  </si>
  <si>
    <t>S18</t>
  </si>
  <si>
    <t>D18</t>
  </si>
  <si>
    <t>Japanese</t>
  </si>
  <si>
    <t>Community suggested — not verified</t>
  </si>
  <si>
    <t>Community-suggested listing. Declaration not yet submitted.</t>
  </si>
  <si>
    <t>Certification status not stated</t>
  </si>
  <si>
    <t>No declaration has been submitted. Contact the establishment directly.</t>
  </si>
  <si>
    <t>Pending declaration.</t>
  </si>
  <si>
    <t>The Courtyard Bistro</t>
  </si>
  <si>
    <t>2 Jurong East Central 1, Singapore</t>
  </si>
  <si>
    <t>609731</t>
  </si>
  <si>
    <t>Jurong East</t>
  </si>
  <si>
    <t>S22</t>
  </si>
  <si>
    <t>D22</t>
  </si>
  <si>
    <t>Mediterranean</t>
  </si>
  <si>
    <t>Bistro</t>
  </si>
  <si>
    <t>2026-04-05</t>
  </si>
  <si>
    <t>2026-07-08</t>
  </si>
  <si>
    <t>Riverside Coffee Room</t>
  </si>
  <si>
    <t>1 Punggol Drive, Singapore</t>
  </si>
  <si>
    <t>828629</t>
  </si>
  <si>
    <t>Punggol</t>
  </si>
  <si>
    <t>S19</t>
  </si>
  <si>
    <t>D19</t>
  </si>
  <si>
    <t>The establishment declares that pork and lard are not used and that meat is sourced from halal-certified suppliers. Alcohol is not served on the premises. Prayer space is available. Water facilities are available.</t>
  </si>
  <si>
    <t>2026-06-15</t>
  </si>
  <si>
    <t>2026-07-12</t>
  </si>
  <si>
    <t>Area</t>
  </si>
  <si>
    <t>Planning Region</t>
  </si>
  <si>
    <t>Notes</t>
  </si>
  <si>
    <t>01</t>
  </si>
  <si>
    <t>City Centre</t>
  </si>
  <si>
    <t>Central</t>
  </si>
  <si>
    <t>02</t>
  </si>
  <si>
    <t>03</t>
  </si>
  <si>
    <t>04</t>
  </si>
  <si>
    <t>05</t>
  </si>
  <si>
    <t>06</t>
  </si>
  <si>
    <t>07</t>
  </si>
  <si>
    <t>08</t>
  </si>
  <si>
    <t>09</t>
  </si>
  <si>
    <t>S3</t>
  </si>
  <si>
    <t>D3</t>
  </si>
  <si>
    <t>Queenstown</t>
  </si>
  <si>
    <t>10</t>
  </si>
  <si>
    <t>11</t>
  </si>
  <si>
    <t>S4</t>
  </si>
  <si>
    <t>D4</t>
  </si>
  <si>
    <t>Harbourfront</t>
  </si>
  <si>
    <t>12</t>
  </si>
  <si>
    <t>13</t>
  </si>
  <si>
    <t>14</t>
  </si>
  <si>
    <t>S5</t>
  </si>
  <si>
    <t>D5</t>
  </si>
  <si>
    <t>Pasir Panjang</t>
  </si>
  <si>
    <t>West</t>
  </si>
  <si>
    <t>15</t>
  </si>
  <si>
    <t>16</t>
  </si>
  <si>
    <t>17</t>
  </si>
  <si>
    <t>S6</t>
  </si>
  <si>
    <t>D6</t>
  </si>
  <si>
    <t>City Hall</t>
  </si>
  <si>
    <t>18</t>
  </si>
  <si>
    <t>S7</t>
  </si>
  <si>
    <t>D7</t>
  </si>
  <si>
    <t>Beach Road</t>
  </si>
  <si>
    <t>19</t>
  </si>
  <si>
    <t>20</t>
  </si>
  <si>
    <t>S8</t>
  </si>
  <si>
    <t>D8</t>
  </si>
  <si>
    <t>Little India</t>
  </si>
  <si>
    <t>21</t>
  </si>
  <si>
    <t>22</t>
  </si>
  <si>
    <t>23</t>
  </si>
  <si>
    <t>24</t>
  </si>
  <si>
    <t>S10</t>
  </si>
  <si>
    <t>D10</t>
  </si>
  <si>
    <t>Bukit Timah</t>
  </si>
  <si>
    <t>25</t>
  </si>
  <si>
    <t>26</t>
  </si>
  <si>
    <t>27</t>
  </si>
  <si>
    <t>Holland Village</t>
  </si>
  <si>
    <t>28</t>
  </si>
  <si>
    <t>S11</t>
  </si>
  <si>
    <t>D11</t>
  </si>
  <si>
    <t>Novena</t>
  </si>
  <si>
    <t>29</t>
  </si>
  <si>
    <t>30</t>
  </si>
  <si>
    <t>Thomson</t>
  </si>
  <si>
    <t>31</t>
  </si>
  <si>
    <t>S12</t>
  </si>
  <si>
    <t>D12</t>
  </si>
  <si>
    <t>Balestier</t>
  </si>
  <si>
    <t>32</t>
  </si>
  <si>
    <t>Toa Payoh</t>
  </si>
  <si>
    <t>33</t>
  </si>
  <si>
    <t>34</t>
  </si>
  <si>
    <t>S13</t>
  </si>
  <si>
    <t>D13</t>
  </si>
  <si>
    <t>Macpherson</t>
  </si>
  <si>
    <t>35</t>
  </si>
  <si>
    <t>36</t>
  </si>
  <si>
    <t>Braddell</t>
  </si>
  <si>
    <t>37</t>
  </si>
  <si>
    <t>38</t>
  </si>
  <si>
    <t>S14</t>
  </si>
  <si>
    <t>D14</t>
  </si>
  <si>
    <t>Geylang</t>
  </si>
  <si>
    <t>East</t>
  </si>
  <si>
    <t>39</t>
  </si>
  <si>
    <t>40</t>
  </si>
  <si>
    <t>41</t>
  </si>
  <si>
    <t>Eunos</t>
  </si>
  <si>
    <t>42</t>
  </si>
  <si>
    <t>43</t>
  </si>
  <si>
    <t>44</t>
  </si>
  <si>
    <t>45</t>
  </si>
  <si>
    <t>Marine Parade</t>
  </si>
  <si>
    <t>46</t>
  </si>
  <si>
    <t>S16</t>
  </si>
  <si>
    <t>D16</t>
  </si>
  <si>
    <t>Bedok</t>
  </si>
  <si>
    <t>47</t>
  </si>
  <si>
    <t>48</t>
  </si>
  <si>
    <t>49</t>
  </si>
  <si>
    <t>S17</t>
  </si>
  <si>
    <t>D17</t>
  </si>
  <si>
    <t>Changi</t>
  </si>
  <si>
    <t>50</t>
  </si>
  <si>
    <t>51</t>
  </si>
  <si>
    <t>52</t>
  </si>
  <si>
    <t>53</t>
  </si>
  <si>
    <t>Hougang</t>
  </si>
  <si>
    <t>North-East</t>
  </si>
  <si>
    <t>54</t>
  </si>
  <si>
    <t>55</t>
  </si>
  <si>
    <t>56</t>
  </si>
  <si>
    <t>S20</t>
  </si>
  <si>
    <t>D20</t>
  </si>
  <si>
    <t>Ang Mo Kio</t>
  </si>
  <si>
    <t>North</t>
  </si>
  <si>
    <t>57</t>
  </si>
  <si>
    <t>58</t>
  </si>
  <si>
    <t>S21</t>
  </si>
  <si>
    <t>D21</t>
  </si>
  <si>
    <t>Clementi</t>
  </si>
  <si>
    <t>59</t>
  </si>
  <si>
    <t>West Coast</t>
  </si>
  <si>
    <t>60</t>
  </si>
  <si>
    <t>61</t>
  </si>
  <si>
    <t>Jurong West</t>
  </si>
  <si>
    <t>62</t>
  </si>
  <si>
    <t>Jurong</t>
  </si>
  <si>
    <t>63</t>
  </si>
  <si>
    <t>64</t>
  </si>
  <si>
    <t>65</t>
  </si>
  <si>
    <t>S23</t>
  </si>
  <si>
    <t>D23</t>
  </si>
  <si>
    <t>Choa Chu Kang</t>
  </si>
  <si>
    <t>66</t>
  </si>
  <si>
    <t>67</t>
  </si>
  <si>
    <t>Bukit Panjang</t>
  </si>
  <si>
    <t>68</t>
  </si>
  <si>
    <t>69</t>
  </si>
  <si>
    <t>S24</t>
  </si>
  <si>
    <t>D24</t>
  </si>
  <si>
    <t>Lim Chu Kang</t>
  </si>
  <si>
    <t>70</t>
  </si>
  <si>
    <t>Tengah</t>
  </si>
  <si>
    <t>71</t>
  </si>
  <si>
    <t>72</t>
  </si>
  <si>
    <t>73</t>
  </si>
  <si>
    <t>74</t>
  </si>
  <si>
    <t>S26</t>
  </si>
  <si>
    <t>D26</t>
  </si>
  <si>
    <t>Upper Thomson</t>
  </si>
  <si>
    <t>75</t>
  </si>
  <si>
    <t>S27</t>
  </si>
  <si>
    <t>D27</t>
  </si>
  <si>
    <t>Yishun</t>
  </si>
  <si>
    <t>76</t>
  </si>
  <si>
    <t>Sembawang</t>
  </si>
  <si>
    <t>77</t>
  </si>
  <si>
    <t>78</t>
  </si>
  <si>
    <t>Springleaf</t>
  </si>
  <si>
    <t>79</t>
  </si>
  <si>
    <t>S28</t>
  </si>
  <si>
    <t>D28</t>
  </si>
  <si>
    <t>Seletar</t>
  </si>
  <si>
    <t>80</t>
  </si>
  <si>
    <t>81</t>
  </si>
  <si>
    <t>Changi Airport</t>
  </si>
  <si>
    <t>82</t>
  </si>
  <si>
    <t>83</t>
  </si>
  <si>
    <t>Tuas</t>
  </si>
  <si>
    <t>Prefecture English</t>
  </si>
  <si>
    <t>Prefecture Japanese</t>
  </si>
  <si>
    <t>Prefecture Type</t>
  </si>
  <si>
    <t>Common Romanised Name</t>
  </si>
  <si>
    <t>Alternative English Name</t>
  </si>
  <si>
    <t>Region</t>
  </si>
  <si>
    <t>Hokkaido</t>
  </si>
  <si>
    <t>北海道</t>
  </si>
  <si>
    <t>道</t>
  </si>
  <si>
    <t>Hokkaidō</t>
  </si>
  <si>
    <t>Aomori</t>
  </si>
  <si>
    <t>青森県</t>
  </si>
  <si>
    <t>県</t>
  </si>
  <si>
    <t>Aomori Prefecture</t>
  </si>
  <si>
    <t>Tohoku</t>
  </si>
  <si>
    <t>Iwate</t>
  </si>
  <si>
    <t>岩手県</t>
  </si>
  <si>
    <t>Iwate Prefecture</t>
  </si>
  <si>
    <t>Miyagi</t>
  </si>
  <si>
    <t>宮城県</t>
  </si>
  <si>
    <t>Miyagi Prefecture</t>
  </si>
  <si>
    <t>Akita</t>
  </si>
  <si>
    <t>秋田県</t>
  </si>
  <si>
    <t>Akita Prefecture</t>
  </si>
  <si>
    <t>Yamagata</t>
  </si>
  <si>
    <t>山形県</t>
  </si>
  <si>
    <t>Yamagata Prefecture</t>
  </si>
  <si>
    <t>Fukushima</t>
  </si>
  <si>
    <t>福島県</t>
  </si>
  <si>
    <t>Fukushima Prefecture</t>
  </si>
  <si>
    <t>Ibaraki</t>
  </si>
  <si>
    <t>茨城県</t>
  </si>
  <si>
    <t>Ibaraki Prefecture</t>
  </si>
  <si>
    <t>Kanto</t>
  </si>
  <si>
    <t>Tochigi</t>
  </si>
  <si>
    <t>栃木県</t>
  </si>
  <si>
    <t>Tochigi Prefecture</t>
  </si>
  <si>
    <t>Gunma</t>
  </si>
  <si>
    <t>群馬県</t>
  </si>
  <si>
    <t>Gunma Prefecture</t>
  </si>
  <si>
    <t>Saitama</t>
  </si>
  <si>
    <t>埼玉県</t>
  </si>
  <si>
    <t>Saitama Prefecture</t>
  </si>
  <si>
    <t>Chiba</t>
  </si>
  <si>
    <t>千葉県</t>
  </si>
  <si>
    <t>Chiba Prefecture</t>
  </si>
  <si>
    <t>Tokyo</t>
  </si>
  <si>
    <t>東京都</t>
  </si>
  <si>
    <t>都</t>
  </si>
  <si>
    <t>Tokyo Metropolis</t>
  </si>
  <si>
    <t>Kanagawa</t>
  </si>
  <si>
    <t>神奈川県</t>
  </si>
  <si>
    <t>Kanagawa Prefecture</t>
  </si>
  <si>
    <t>Niigata</t>
  </si>
  <si>
    <t>新潟県</t>
  </si>
  <si>
    <t>Niigata Prefecture</t>
  </si>
  <si>
    <t>Chubu</t>
  </si>
  <si>
    <t>Toyama</t>
  </si>
  <si>
    <t>富山県</t>
  </si>
  <si>
    <t>Toyama Prefecture</t>
  </si>
  <si>
    <t>Ishikawa</t>
  </si>
  <si>
    <t>石川県</t>
  </si>
  <si>
    <t>Ishikawa Prefecture</t>
  </si>
  <si>
    <t>Fukui</t>
  </si>
  <si>
    <t>福井県</t>
  </si>
  <si>
    <t>Fukui Prefecture</t>
  </si>
  <si>
    <t>Yamanashi</t>
  </si>
  <si>
    <t>山梨県</t>
  </si>
  <si>
    <t>Yamanashi Prefecture</t>
  </si>
  <si>
    <t>Nagano</t>
  </si>
  <si>
    <t>長野県</t>
  </si>
  <si>
    <t>Nagano Prefecture</t>
  </si>
  <si>
    <t>Gifu</t>
  </si>
  <si>
    <t>岐阜県</t>
  </si>
  <si>
    <t>Gifu Prefecture</t>
  </si>
  <si>
    <t>Shizuoka</t>
  </si>
  <si>
    <t>静岡県</t>
  </si>
  <si>
    <t>Shizuoka Prefecture</t>
  </si>
  <si>
    <t>Aichi</t>
  </si>
  <si>
    <t>愛知県</t>
  </si>
  <si>
    <t>Aichi Prefecture</t>
  </si>
  <si>
    <t>Mie</t>
  </si>
  <si>
    <t>三重県</t>
  </si>
  <si>
    <t>Mie Prefecture</t>
  </si>
  <si>
    <t>Kansai</t>
  </si>
  <si>
    <t>Shiga</t>
  </si>
  <si>
    <t>滋賀県</t>
  </si>
  <si>
    <t>Shiga Prefecture</t>
  </si>
  <si>
    <t>Kyoto</t>
  </si>
  <si>
    <t>京都府</t>
  </si>
  <si>
    <t>府</t>
  </si>
  <si>
    <t>Kyoto Prefecture</t>
  </si>
  <si>
    <t>Osaka</t>
  </si>
  <si>
    <t>大阪府</t>
  </si>
  <si>
    <t>Osaka Prefecture</t>
  </si>
  <si>
    <t>Hyogo</t>
  </si>
  <si>
    <t>兵庫県</t>
  </si>
  <si>
    <t>Hyogo Prefecture</t>
  </si>
  <si>
    <t>Nara</t>
  </si>
  <si>
    <t>奈良県</t>
  </si>
  <si>
    <t>Nara Prefecture</t>
  </si>
  <si>
    <t>Wakayama</t>
  </si>
  <si>
    <t>和歌山県</t>
  </si>
  <si>
    <t>Wakayama Prefecture</t>
  </si>
  <si>
    <t>Tottori</t>
  </si>
  <si>
    <t>鳥取県</t>
  </si>
  <si>
    <t>Tottori Prefecture</t>
  </si>
  <si>
    <t>Chugoku</t>
  </si>
  <si>
    <t>Shimane</t>
  </si>
  <si>
    <t>島根県</t>
  </si>
  <si>
    <t>Shimane Prefecture</t>
  </si>
  <si>
    <t>Okayama</t>
  </si>
  <si>
    <t>岡山県</t>
  </si>
  <si>
    <t>Okayama Prefecture</t>
  </si>
  <si>
    <t>Hiroshima</t>
  </si>
  <si>
    <t>広島県</t>
  </si>
  <si>
    <t>Hiroshima Prefecture</t>
  </si>
  <si>
    <t>Yamaguchi</t>
  </si>
  <si>
    <t>山口県</t>
  </si>
  <si>
    <t>Yamaguchi Prefecture</t>
  </si>
  <si>
    <t>Tokushima</t>
  </si>
  <si>
    <t>徳島県</t>
  </si>
  <si>
    <t>Tokushima Prefecture</t>
  </si>
  <si>
    <t>Shikoku</t>
  </si>
  <si>
    <t>Kagawa</t>
  </si>
  <si>
    <t>香川県</t>
  </si>
  <si>
    <t>Kagawa Prefecture</t>
  </si>
  <si>
    <t>Ehime</t>
  </si>
  <si>
    <t>愛媛県</t>
  </si>
  <si>
    <t>Ehime Prefecture</t>
  </si>
  <si>
    <t>Kochi</t>
  </si>
  <si>
    <t>高知県</t>
  </si>
  <si>
    <t>Kochi Prefecture</t>
  </si>
  <si>
    <t>Fukuoka</t>
  </si>
  <si>
    <t>福岡県</t>
  </si>
  <si>
    <t>Fukuoka Prefecture</t>
  </si>
  <si>
    <t>Kyushu</t>
  </si>
  <si>
    <t>Saga</t>
  </si>
  <si>
    <t>佐賀県</t>
  </si>
  <si>
    <t>Saga Prefecture</t>
  </si>
  <si>
    <t>Nagasaki</t>
  </si>
  <si>
    <t>長崎県</t>
  </si>
  <si>
    <t>Nagasaki Prefecture</t>
  </si>
  <si>
    <t>Kumamoto</t>
  </si>
  <si>
    <t>熊本県</t>
  </si>
  <si>
    <t>Kumamoto Prefecture</t>
  </si>
  <si>
    <t>Oita</t>
  </si>
  <si>
    <t>大分県</t>
  </si>
  <si>
    <t>Oita Prefecture</t>
  </si>
  <si>
    <t>Miyazaki</t>
  </si>
  <si>
    <t>宮崎県</t>
  </si>
  <si>
    <t>Miyazaki Prefecture</t>
  </si>
  <si>
    <t>Kagoshima</t>
  </si>
  <si>
    <t>鹿児島県</t>
  </si>
  <si>
    <t>Kagoshima Prefecture</t>
  </si>
  <si>
    <t>Okinawa</t>
  </si>
  <si>
    <t>沖縄県</t>
  </si>
  <si>
    <t>Okinawa Prefecture</t>
  </si>
  <si>
    <t>Declaration Value</t>
  </si>
  <si>
    <t>Muis (Singapore)</t>
  </si>
  <si>
    <t>Ready</t>
  </si>
  <si>
    <t>Japan</t>
  </si>
  <si>
    <t>JAKIM (Malaysia)</t>
  </si>
  <si>
    <t>Coordinates required</t>
  </si>
  <si>
    <t>Malaysia</t>
  </si>
  <si>
    <t>Halal certified</t>
  </si>
  <si>
    <t>Not Stated</t>
  </si>
  <si>
    <t>MUI (Indonesia)</t>
  </si>
  <si>
    <t>Indonesia</t>
  </si>
  <si>
    <t>Korean</t>
  </si>
  <si>
    <t>Pending verification</t>
  </si>
  <si>
    <t>Other</t>
  </si>
  <si>
    <t>United Kingdom</t>
  </si>
  <si>
    <t>Listed — Declaration pending</t>
  </si>
  <si>
    <t>United States</t>
  </si>
  <si>
    <t>Chinese</t>
  </si>
  <si>
    <t>Food Court</t>
  </si>
  <si>
    <t>Australia</t>
  </si>
  <si>
    <t>Malay</t>
  </si>
  <si>
    <t>Hawker</t>
  </si>
  <si>
    <t>Indian</t>
  </si>
  <si>
    <t>Hotel Restaurant</t>
  </si>
  <si>
    <t>Indonesian</t>
  </si>
  <si>
    <t>Bakery</t>
  </si>
  <si>
    <t>Thai</t>
  </si>
  <si>
    <t>Caterer</t>
  </si>
  <si>
    <t>Vietnamese</t>
  </si>
  <si>
    <t>Middle Eastern</t>
  </si>
  <si>
    <t>AUTO-COMPUTED COLUMNS (KEY CHANGES)</t>
  </si>
  <si>
    <t>ID (Column A)</t>
  </si>
  <si>
    <t>Auto-generated from the row position: est-001, est-002, etc. Do not type IDs manually — the formula handles this. The ID updates automatically when the table extends.</t>
  </si>
  <si>
    <t>Calculated Columns</t>
  </si>
  <si>
    <t>The following columns now auto-compute when you enter data in the same row: ID, Postal Prefix, Area / Prefecture, Postal Sector, Postal District, Certification Status, Declaration Text, Demo Disclaimer, Data Completeness, Map Ready, Record Validation.</t>
  </si>
  <si>
    <t>How auto-compute works</t>
  </si>
  <si>
    <t>These columns use Excel Table Calculated Columns with structured references ([@column_name]). When you Tab into a new row or insert a row, Excel automatically copies the formula. No manual formula entry is needed.</t>
  </si>
  <si>
    <t>SheetJS / Website</t>
  </si>
  <si>
    <t>SheetJS reads saved formula results. After editing this workbook, press Ctrl+Alt+F9 (full recalculate), then Save, then upload to the server.</t>
  </si>
  <si>
    <t>ADDING A NEW ESTABLISHMENT</t>
  </si>
  <si>
    <t>Step 1</t>
  </si>
  <si>
    <t>Click the last data row inside the table. Press Tab to add a new row — or right-click the last row and choose 'Insert Table Row Below'.</t>
  </si>
  <si>
    <t>Step 2</t>
  </si>
  <si>
    <t>Fill in required columns (dark blue headers): name, country, address. The ID generates automatically.</t>
  </si>
  <si>
    <t>Step 3</t>
  </si>
  <si>
    <t>Fill in optional columns (mid blue headers): postal code, cuisine, establishment type, declaration fields, latitude, longitude, etc.</t>
  </si>
  <si>
    <t>Step 4</t>
  </si>
  <si>
    <t>Watch the green formula columns — they update automatically as you type. Check Record Validation in the last column.</t>
  </si>
  <si>
    <t>Step 5</t>
  </si>
  <si>
    <t>Press Ctrl+Alt+F9. Save. Upload to /data/muslim-friendly-establishments.xlsx.</t>
  </si>
  <si>
    <t>SINGAPORE LOCATION</t>
  </si>
  <si>
    <t>Postal code</t>
  </si>
  <si>
    <t>Enter a valid 6-digit postal code. Area / Prefecture, Postal Sector and Postal District auto-fill from the Singapore_Postal_Lookup table.</t>
  </si>
  <si>
    <t>Override</t>
  </si>
  <si>
    <t>Enter a value in Area / Prefecture Override to force a specific area name — useful for Marina Bay, Sentosa, etc.</t>
  </si>
  <si>
    <t>JAPAN PREFECTURE</t>
  </si>
  <si>
    <t>How it works</t>
  </si>
  <si>
    <t>Enter the full address including the prefecture name in English or Japanese. The formula searches the Japan_Prefecture_Lookup table.</t>
  </si>
  <si>
    <t>If the prefecture is not detected automatically, enter it in Area / Prefecture Override.</t>
  </si>
  <si>
    <t>DECLARATION TEXT &amp; CERTIFICATION</t>
  </si>
  <si>
    <t>Auto-generated</t>
  </si>
  <si>
    <t>Declaration Text and Certification Status are generated automatically from the input columns. No manual writing needed for standard declarations.</t>
  </si>
  <si>
    <t>Enter text in Declaration Text Override to replace the auto-generated paragraph with custom wording.</t>
  </si>
  <si>
    <t>Values</t>
  </si>
  <si>
    <t>All declaration fields accept: TRUE, FALSE, or Not Stated. Use the dropdown. Blank is also treated as Not Stated.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</si>
</sst>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rgb="FFFFFFFF"/>
      <name val="Calibri"/>
    </font>
    <font>
      <sz val="9"/>
      <color rgb="FF0A0F1E"/>
      <name val="Calibri"/>
    </font>
    <font>
      <sz val="9"/>
      <name val="Calibri"/>
    </font>
    <font>
      <b/>
      <sz val="10"/>
      <color rgb="FFFFFFFF"/>
      <name val="Calibri"/>
    </font>
    <font>
      <b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A5C3A"/>
      </patternFill>
    </fill>
    <fill>
      <patternFill patternType="solid">
        <fgColor rgb="FF0D3B6E"/>
      </patternFill>
    </fill>
    <fill>
      <patternFill patternType="solid">
        <fgColor rgb="FF1F618D"/>
      </patternFill>
    </fill>
    <fill>
      <patternFill patternType="solid">
        <fgColor rgb="FF5D6D7E"/>
      </patternFill>
    </fill>
    <fill>
      <patternFill patternType="solid">
        <fgColor rgb="FFD5F5E3"/>
      </patternFill>
    </fill>
    <fill>
      <patternFill patternType="solid">
        <fgColor rgb="FFD6EAF8"/>
      </patternFill>
    </fill>
    <fill>
      <patternFill patternType="solid">
        <fgColor rgb="FFF2F3F4"/>
      </patternFill>
    </fill>
    <fill>
      <patternFill patternType="solid">
        <fgColor rgb="FFC0392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8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9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vertical="top" wrapText="1"/>
    </xf>
    <xf numFmtId="0" fontId="4" fillId="4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6">
    <dxf>
      <font>
        <sz val="9"/>
        <color rgb="FF9B1C1C"/>
        <name val="Calibri"/>
      </font>
      <fill>
        <patternFill patternType="solid">
          <fgColor rgb="FFFDE8E8"/>
        </patternFill>
      </fill>
    </dxf>
    <dxf>
      <font>
        <sz val="9"/>
        <color rgb="FF92400E"/>
        <name val="Calibri"/>
      </font>
      <fill>
        <patternFill patternType="solid">
          <fgColor rgb="FFFEF3C7"/>
        </patternFill>
      </fill>
    </dxf>
    <dxf>
      <font>
        <b/>
        <sz val="9"/>
        <color rgb="FF5B21B6"/>
        <name val="Calibri"/>
      </font>
      <fill>
        <patternFill patternType="solid">
          <fgColor rgb="FFEDE9FE"/>
        </patternFill>
      </fill>
    </dxf>
    <dxf>
      <font>
        <b/>
        <sz val="9"/>
        <color rgb="FF1A5C3A"/>
        <name val="Calibri"/>
      </font>
      <fill>
        <patternFill patternType="solid">
          <fgColor rgb="FFD5F5E3"/>
        </patternFill>
      </fill>
    </dxf>
    <dxf>
      <font>
        <sz val="9"/>
        <color rgb="FF92400E"/>
        <name val="Calibri"/>
      </font>
      <fill>
        <patternFill patternType="solid">
          <fgColor rgb="FFFEF3C7"/>
        </patternFill>
      </fill>
    </dxf>
    <dxf>
      <font>
        <b/>
        <sz val="9"/>
        <color rgb="FF1A5C3A"/>
        <name val="Calibri"/>
      </font>
      <fill>
        <patternFill patternType="solid">
          <fgColor rgb="FFD5F5E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Establishments" displayName="tblEstablishments" ref="A1:AX10">
  <autoFilter ref="A1:AX10" xr:uid="{00000000-0009-0000-0100-000001000000}"/>
  <tableColumns count="50">
    <tableColumn id="1" xr3:uid="{00000000-0010-0000-0000-000001000000}" name="ID"/>
    <tableColumn id="2" xr3:uid="{00000000-0010-0000-0000-000002000000}" name="Name"/>
    <tableColumn id="3" xr3:uid="{00000000-0010-0000-0000-000003000000}" name="Country"/>
    <tableColumn id="4" xr3:uid="{00000000-0010-0000-0000-000004000000}" name="Address"/>
    <tableColumn id="5" xr3:uid="{00000000-0010-0000-0000-000005000000}" name="Postal Code"/>
    <tableColumn id="6" xr3:uid="{00000000-0010-0000-0000-000006000000}" name="Postal Prefix"/>
    <tableColumn id="7" xr3:uid="{00000000-0010-0000-0000-000007000000}" name="Area / Prefecture Override"/>
    <tableColumn id="8" xr3:uid="{00000000-0010-0000-0000-000008000000}" name="Area / Prefecture"/>
    <tableColumn id="9" xr3:uid="{00000000-0010-0000-0000-000009000000}" name="Postal Sector"/>
    <tableColumn id="10" xr3:uid="{00000000-0010-0000-0000-00000A000000}" name="Postal District"/>
    <tableColumn id="11" xr3:uid="{00000000-0010-0000-0000-00000B000000}" name="Cuisine"/>
    <tableColumn id="12" xr3:uid="{00000000-0010-0000-0000-00000C000000}" name="Establishment Type"/>
    <tableColumn id="13" xr3:uid="{00000000-0010-0000-0000-00000D000000}" name="Latitude"/>
    <tableColumn id="14" xr3:uid="{00000000-0010-0000-0000-00000E000000}" name="Longitude"/>
    <tableColumn id="15" xr3:uid="{00000000-0010-0000-0000-00000F000000}" name="Listing Status"/>
    <tableColumn id="16" xr3:uid="{00000000-0010-0000-0000-000010000000}" name="Basis of Listing"/>
    <tableColumn id="17" xr3:uid="{00000000-0010-0000-0000-000011000000}" name="Halal Certified"/>
    <tableColumn id="18" xr3:uid="{00000000-0010-0000-0000-000012000000}" name="Certification Status"/>
    <tableColumn id="19" xr3:uid="{00000000-0010-0000-0000-000013000000}" name="Certifying Body"/>
    <tableColumn id="20" xr3:uid="{00000000-0010-0000-0000-000014000000}" name="Certificate Expiry"/>
    <tableColumn id="21" xr3:uid="{00000000-0010-0000-0000-000015000000}" name="No Pork Declared"/>
    <tableColumn id="22" xr3:uid="{00000000-0010-0000-0000-000016000000}" name="No Lard Declared"/>
    <tableColumn id="23" xr3:uid="{00000000-0010-0000-0000-000017000000}" name="Halal-Certified Meat"/>
    <tableColumn id="24" xr3:uid="{00000000-0010-0000-0000-000018000000}" name="Alcohol Served"/>
    <tableColumn id="25" xr3:uid="{00000000-0010-0000-0000-000019000000}" name="Alcohol in Menu"/>
    <tableColumn id="26" xr3:uid="{00000000-0010-0000-0000-00001A000000}" name="Shared Kitchen"/>
    <tableColumn id="27" xr3:uid="{00000000-0010-0000-0000-00001B000000}" name="Shared Utensils"/>
    <tableColumn id="28" xr3:uid="{00000000-0010-0000-0000-00001C000000}" name="Shared Fryer"/>
    <tableColumn id="29" xr3:uid="{00000000-0010-0000-0000-00001D000000}" name="Shared Grill"/>
    <tableColumn id="30" xr3:uid="{00000000-0010-0000-0000-00001E000000}" name="Prayer Space"/>
    <tableColumn id="31" xr3:uid="{00000000-0010-0000-0000-00001F000000}" name="Prayer Mat"/>
    <tableColumn id="32" xr3:uid="{00000000-0010-0000-0000-000020000000}" name="Qibla Direction"/>
    <tableColumn id="33" xr3:uid="{00000000-0010-0000-0000-000021000000}" name="Water Facilities"/>
    <tableColumn id="34" xr3:uid="{00000000-0010-0000-0000-000022000000}" name="Declaration Text Override"/>
    <tableColumn id="35" xr3:uid="{00000000-0010-0000-0000-000023000000}" name="Declaration Text"/>
    <tableColumn id="36" xr3:uid="{00000000-0010-0000-0000-000024000000}" name="Cross-Contact Note"/>
    <tableColumn id="37" xr3:uid="{00000000-0010-0000-0000-000025000000}" name="Additional Notes"/>
    <tableColumn id="38" xr3:uid="{00000000-0010-0000-0000-000026000000}" name="Declaration Date"/>
    <tableColumn id="39" xr3:uid="{00000000-0010-0000-0000-000027000000}" name="Last Updated"/>
    <tableColumn id="40" xr3:uid="{00000000-0010-0000-0000-000028000000}" name="Website URL"/>
    <tableColumn id="41" xr3:uid="{00000000-0010-0000-0000-000029000000}" name="Instagram URL"/>
    <tableColumn id="42" xr3:uid="{00000000-0010-0000-0000-00002A000000}" name="Location URL"/>
    <tableColumn id="43" xr3:uid="{00000000-0010-0000-0000-00002B000000}" name="Directions URL"/>
    <tableColumn id="44" xr3:uid="{00000000-0010-0000-0000-00002C000000}" name="Reviews URL"/>
    <tableColumn id="45" xr3:uid="{00000000-0010-0000-0000-00002D000000}" name="Image URL"/>
    <tableColumn id="46" xr3:uid="{00000000-0010-0000-0000-00002E000000}" name="Is Demo"/>
    <tableColumn id="47" xr3:uid="{00000000-0010-0000-0000-00002F000000}" name="Demo Disclaimer"/>
    <tableColumn id="48" xr3:uid="{00000000-0010-0000-0000-000030000000}" name="Data Completeness"/>
    <tableColumn id="49" xr3:uid="{00000000-0010-0000-0000-000031000000}" name="Map Ready"/>
    <tableColumn id="50" xr3:uid="{00000000-0010-0000-0000-000032000000}" name="Record Validation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SingaporePostal" displayName="tblSingaporePostal" ref="A1:F84">
  <autoFilter ref="A1:F84" xr:uid="{00000000-0009-0000-0100-000002000000}"/>
  <tableColumns count="6">
    <tableColumn id="1" xr3:uid="{00000000-0010-0000-0100-000001000000}" name="Postal Prefix"/>
    <tableColumn id="2" xr3:uid="{00000000-0010-0000-0100-000002000000}" name="Postal Sector"/>
    <tableColumn id="3" xr3:uid="{00000000-0010-0000-0100-000003000000}" name="Postal District"/>
    <tableColumn id="4" xr3:uid="{00000000-0010-0000-0100-000004000000}" name="Area"/>
    <tableColumn id="5" xr3:uid="{00000000-0010-0000-0100-000005000000}" name="Planning Region"/>
    <tableColumn id="6" xr3:uid="{00000000-0010-0000-0100-000006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JapanPrefectures" displayName="tblJapanPrefectures" ref="A1:F48">
  <autoFilter ref="A1:F48" xr:uid="{00000000-0009-0000-0100-000003000000}"/>
  <tableColumns count="6">
    <tableColumn id="1" xr3:uid="{00000000-0010-0000-0200-000001000000}" name="Prefecture English"/>
    <tableColumn id="2" xr3:uid="{00000000-0010-0000-0200-000002000000}" name="Prefecture Japanese"/>
    <tableColumn id="3" xr3:uid="{00000000-0010-0000-0200-000003000000}" name="Prefecture Type"/>
    <tableColumn id="4" xr3:uid="{00000000-0010-0000-0200-000004000000}" name="Common Romanised Name"/>
    <tableColumn id="5" xr3:uid="{00000000-0010-0000-0200-000005000000}" name="Alternative English Name"/>
    <tableColumn id="6" xr3:uid="{00000000-0010-0000-0200-000006000000}" name="Region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9"/>
  <sheetViews>
    <sheetView tabSelected="1" workbookViewId="0">
      <pane xSplit="1" ySplit="1" topLeftCell="B5" activePane="bottomRight" state="frozen"/>
      <selection pane="topRight"/>
      <selection pane="bottomLeft"/>
      <selection pane="bottomRight" activeCell="B10" sqref="B10"/>
    </sheetView>
  </sheetViews>
  <sheetFormatPr defaultRowHeight="14.25" x14ac:dyDescent="0.45"/>
  <cols>
    <col min="1" max="1" width="22" customWidth="1"/>
    <col min="2" max="2" width="30" customWidth="1"/>
    <col min="3" max="3" width="14" customWidth="1"/>
    <col min="4" max="4" width="36" customWidth="1"/>
    <col min="5" max="5" width="14" customWidth="1"/>
    <col min="6" max="6" width="12" customWidth="1"/>
    <col min="7" max="7" width="26" customWidth="1"/>
    <col min="8" max="8" width="22" customWidth="1"/>
    <col min="9" max="9" width="14" customWidth="1"/>
    <col min="10" max="10" width="16" customWidth="1"/>
    <col min="11" max="11" width="18" customWidth="1"/>
    <col min="12" max="12" width="20" customWidth="1"/>
    <col min="13" max="14" width="12" customWidth="1"/>
    <col min="15" max="15" width="28" customWidth="1"/>
    <col min="16" max="16" width="32" customWidth="1"/>
    <col min="17" max="17" width="14" customWidth="1"/>
    <col min="18" max="18" width="34" customWidth="1"/>
    <col min="19" max="19" width="20" customWidth="1"/>
    <col min="20" max="22" width="16" customWidth="1"/>
    <col min="23" max="23" width="18" customWidth="1"/>
    <col min="24" max="25" width="16" customWidth="1"/>
    <col min="26" max="26" width="14" customWidth="1"/>
    <col min="27" max="27" width="16" customWidth="1"/>
    <col min="28" max="31" width="14" customWidth="1"/>
    <col min="32" max="33" width="16" customWidth="1"/>
    <col min="34" max="34" width="46" customWidth="1"/>
    <col min="35" max="35" width="60" customWidth="1"/>
    <col min="36" max="37" width="46" customWidth="1"/>
    <col min="38" max="39" width="16" customWidth="1"/>
    <col min="40" max="45" width="32" customWidth="1"/>
    <col min="46" max="46" width="10" customWidth="1"/>
    <col min="47" max="47" width="60" customWidth="1"/>
    <col min="48" max="48" width="22" customWidth="1"/>
    <col min="49" max="49" width="18" customWidth="1"/>
    <col min="50" max="50" width="42" customWidth="1"/>
  </cols>
  <sheetData>
    <row r="1" spans="1:50" ht="48" customHeight="1" x14ac:dyDescent="0.4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1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1" t="s">
        <v>46</v>
      </c>
      <c r="AV1" s="1" t="s">
        <v>47</v>
      </c>
      <c r="AW1" s="1" t="s">
        <v>48</v>
      </c>
      <c r="AX1" s="4" t="s">
        <v>49</v>
      </c>
    </row>
    <row r="2" spans="1:50" ht="60" customHeight="1" x14ac:dyDescent="0.45">
      <c r="A2" s="5" t="str">
        <f t="shared" ref="A2:A9" si="0">IF(B2&lt;&gt;"","est-"&amp;TEXT(ROW()-1,"000"),"")</f>
        <v>est-001</v>
      </c>
      <c r="B2" s="6" t="s">
        <v>50</v>
      </c>
      <c r="C2" s="6" t="s">
        <v>51</v>
      </c>
      <c r="D2" s="6" t="s">
        <v>52</v>
      </c>
      <c r="E2" s="7" t="s">
        <v>53</v>
      </c>
      <c r="F2" s="5" t="str">
        <f t="shared" ref="F2:F9" si="1">IF(C2="Singapore",IF(LEN(TEXT(E2,"000000"))=6,LEFT(TEXT(E2,"000000"),2),""),"")</f>
        <v>07</v>
      </c>
      <c r="G2" s="7"/>
      <c r="H2" s="5" t="s">
        <v>54</v>
      </c>
      <c r="I2" s="5" t="s">
        <v>55</v>
      </c>
      <c r="J2" s="5" t="s">
        <v>56</v>
      </c>
      <c r="K2" s="7" t="s">
        <v>57</v>
      </c>
      <c r="L2" s="7" t="s">
        <v>58</v>
      </c>
      <c r="M2" s="7">
        <v>1.2801</v>
      </c>
      <c r="N2" s="7">
        <v>103.84439999999999</v>
      </c>
      <c r="O2" s="7" t="s">
        <v>59</v>
      </c>
      <c r="P2" s="7" t="s">
        <v>60</v>
      </c>
      <c r="Q2" s="7" t="s">
        <v>61</v>
      </c>
      <c r="R2" s="5" t="s">
        <v>62</v>
      </c>
      <c r="S2" s="7"/>
      <c r="T2" s="7"/>
      <c r="U2" s="7" t="s">
        <v>63</v>
      </c>
      <c r="V2" s="7" t="s">
        <v>63</v>
      </c>
      <c r="W2" s="7" t="s">
        <v>63</v>
      </c>
      <c r="X2" s="7" t="s">
        <v>61</v>
      </c>
      <c r="Y2" s="7" t="s">
        <v>61</v>
      </c>
      <c r="Z2" s="7" t="s">
        <v>61</v>
      </c>
      <c r="AA2" s="7" t="s">
        <v>61</v>
      </c>
      <c r="AB2" s="7" t="s">
        <v>61</v>
      </c>
      <c r="AC2" s="7" t="s">
        <v>61</v>
      </c>
      <c r="AD2" s="7" t="s">
        <v>61</v>
      </c>
      <c r="AE2" s="7" t="s">
        <v>61</v>
      </c>
      <c r="AF2" s="7" t="s">
        <v>61</v>
      </c>
      <c r="AG2" s="7" t="s">
        <v>61</v>
      </c>
      <c r="AH2" s="7"/>
      <c r="AI2" s="5" t="s">
        <v>64</v>
      </c>
      <c r="AJ2" s="7" t="s">
        <v>65</v>
      </c>
      <c r="AK2" s="7"/>
      <c r="AL2" s="7" t="s">
        <v>66</v>
      </c>
      <c r="AM2" s="7" t="s">
        <v>67</v>
      </c>
      <c r="AN2" s="7"/>
      <c r="AO2" s="7"/>
      <c r="AP2" s="7"/>
      <c r="AQ2" s="7"/>
      <c r="AR2" s="7"/>
      <c r="AS2" s="7"/>
      <c r="AT2" s="7" t="s">
        <v>63</v>
      </c>
      <c r="AU2" s="5" t="str">
        <f t="shared" ref="AU2:AU9" si="2">IF(OR(AT2=TRUE,AT2="TRUE"),"This sample listing is provided solely to demonstrate the directory interface. It does not represent a live declaration, verification, endorsement or participating establishment.","")</f>
        <v>This sample listing is provided solely to demonstrate the directory interface. It does not represent a live declaration, verification, endorsement or participating establishment.</v>
      </c>
      <c r="AV2" s="5" t="str">
        <f t="shared" ref="AV2:AV9" si="3">IF(OR(A2="",B2="",C2="",D2=""),"Missing required fields",IF(NOT(AND(ISNUMBER(M2),ISNUMBER(N2))),"Missing coordinates","Complete"))</f>
        <v>Complete</v>
      </c>
      <c r="AW2" s="5" t="str">
        <f t="shared" ref="AW2:AW9" si="4">IF(AND(ISNUMBER(M2),ISNUMBER(N2)),"Ready","Coordinates required")</f>
        <v>Ready</v>
      </c>
      <c r="AX2" s="8" t="str">
        <f t="shared" ref="AX2:AX9" si="5">IF(OR(AT2=TRUE,AT2="TRUE"),"Demo record",IF(A2="","Missing ID",IF(B2="","Missing name",IF(NOT(AND(ISNUMBER(M2),ISNUMBER(N2))),"Coordinates required","Ready for publication"))))</f>
        <v>Demo record</v>
      </c>
    </row>
    <row r="3" spans="1:50" ht="60" customHeight="1" x14ac:dyDescent="0.45">
      <c r="A3" s="5" t="str">
        <f t="shared" si="0"/>
        <v>est-002</v>
      </c>
      <c r="B3" s="6" t="s">
        <v>68</v>
      </c>
      <c r="C3" s="6" t="s">
        <v>51</v>
      </c>
      <c r="D3" s="6" t="s">
        <v>69</v>
      </c>
      <c r="E3" s="7" t="s">
        <v>70</v>
      </c>
      <c r="F3" s="5" t="str">
        <f t="shared" si="1"/>
        <v>01</v>
      </c>
      <c r="G3" s="7" t="s">
        <v>71</v>
      </c>
      <c r="H3" s="5" t="s">
        <v>71</v>
      </c>
      <c r="I3" s="5" t="s">
        <v>72</v>
      </c>
      <c r="J3" s="5" t="s">
        <v>73</v>
      </c>
      <c r="K3" s="7" t="s">
        <v>74</v>
      </c>
      <c r="L3" s="7" t="s">
        <v>75</v>
      </c>
      <c r="M3" s="7">
        <v>1.2815000000000001</v>
      </c>
      <c r="N3" s="7">
        <v>103.8562</v>
      </c>
      <c r="O3" s="7" t="s">
        <v>59</v>
      </c>
      <c r="P3" s="7" t="s">
        <v>60</v>
      </c>
      <c r="Q3" s="7" t="s">
        <v>61</v>
      </c>
      <c r="R3" s="5" t="s">
        <v>62</v>
      </c>
      <c r="S3" s="7"/>
      <c r="T3" s="7"/>
      <c r="U3" s="7" t="s">
        <v>63</v>
      </c>
      <c r="V3" s="7" t="s">
        <v>63</v>
      </c>
      <c r="W3" s="7" t="s">
        <v>63</v>
      </c>
      <c r="X3" s="7" t="s">
        <v>63</v>
      </c>
      <c r="Y3" s="7" t="s">
        <v>63</v>
      </c>
      <c r="Z3" s="7" t="s">
        <v>61</v>
      </c>
      <c r="AA3" s="7"/>
      <c r="AB3" s="7"/>
      <c r="AC3" s="7"/>
      <c r="AD3" s="7" t="s">
        <v>61</v>
      </c>
      <c r="AE3" s="7" t="s">
        <v>61</v>
      </c>
      <c r="AF3" s="7" t="s">
        <v>61</v>
      </c>
      <c r="AG3" s="7" t="s">
        <v>61</v>
      </c>
      <c r="AH3" s="7"/>
      <c r="AI3" s="5" t="s">
        <v>76</v>
      </c>
      <c r="AJ3" s="7" t="s">
        <v>77</v>
      </c>
      <c r="AK3" s="7" t="s">
        <v>78</v>
      </c>
      <c r="AL3" s="7" t="s">
        <v>79</v>
      </c>
      <c r="AM3" s="7" t="s">
        <v>80</v>
      </c>
      <c r="AN3" s="7"/>
      <c r="AO3" s="7"/>
      <c r="AP3" s="7"/>
      <c r="AQ3" s="7"/>
      <c r="AR3" s="7"/>
      <c r="AS3" s="7"/>
      <c r="AT3" s="7" t="s">
        <v>63</v>
      </c>
      <c r="AU3" s="5" t="str">
        <f t="shared" si="2"/>
        <v>This sample listing is provided solely to demonstrate the directory interface. It does not represent a live declaration, verification, endorsement or participating establishment.</v>
      </c>
      <c r="AV3" s="5" t="str">
        <f t="shared" si="3"/>
        <v>Complete</v>
      </c>
      <c r="AW3" s="5" t="str">
        <f t="shared" si="4"/>
        <v>Ready</v>
      </c>
      <c r="AX3" s="8" t="str">
        <f t="shared" si="5"/>
        <v>Demo record</v>
      </c>
    </row>
    <row r="4" spans="1:50" ht="60" customHeight="1" x14ac:dyDescent="0.45">
      <c r="A4" s="5" t="str">
        <f t="shared" si="0"/>
        <v>est-003</v>
      </c>
      <c r="B4" s="6" t="s">
        <v>81</v>
      </c>
      <c r="C4" s="6" t="s">
        <v>51</v>
      </c>
      <c r="D4" s="6" t="s">
        <v>82</v>
      </c>
      <c r="E4" s="7" t="s">
        <v>83</v>
      </c>
      <c r="F4" s="5" t="str">
        <f t="shared" si="1"/>
        <v>23</v>
      </c>
      <c r="G4" s="7"/>
      <c r="H4" s="5" t="s">
        <v>84</v>
      </c>
      <c r="I4" s="5" t="s">
        <v>85</v>
      </c>
      <c r="J4" s="5" t="s">
        <v>86</v>
      </c>
      <c r="K4" s="7" t="s">
        <v>87</v>
      </c>
      <c r="L4" s="7" t="s">
        <v>75</v>
      </c>
      <c r="M4" s="7">
        <v>1.3017000000000001</v>
      </c>
      <c r="N4" s="7">
        <v>103.83920000000001</v>
      </c>
      <c r="O4" s="7" t="s">
        <v>59</v>
      </c>
      <c r="P4" s="7" t="s">
        <v>60</v>
      </c>
      <c r="Q4" s="7" t="s">
        <v>61</v>
      </c>
      <c r="R4" s="5" t="s">
        <v>62</v>
      </c>
      <c r="S4" s="7"/>
      <c r="T4" s="7"/>
      <c r="U4" s="7" t="s">
        <v>63</v>
      </c>
      <c r="V4" s="7" t="s">
        <v>63</v>
      </c>
      <c r="W4" s="7"/>
      <c r="X4" s="7" t="s">
        <v>61</v>
      </c>
      <c r="Y4" s="7" t="s">
        <v>61</v>
      </c>
      <c r="Z4" s="7"/>
      <c r="AA4" s="7"/>
      <c r="AB4" s="7"/>
      <c r="AC4" s="7"/>
      <c r="AD4" s="7"/>
      <c r="AE4" s="7"/>
      <c r="AF4" s="7"/>
      <c r="AG4" s="7"/>
      <c r="AH4" s="7"/>
      <c r="AI4" s="5" t="s">
        <v>88</v>
      </c>
      <c r="AJ4" s="7" t="s">
        <v>89</v>
      </c>
      <c r="AK4" s="7"/>
      <c r="AL4" s="7" t="s">
        <v>90</v>
      </c>
      <c r="AM4" s="7" t="s">
        <v>91</v>
      </c>
      <c r="AN4" s="7"/>
      <c r="AO4" s="7"/>
      <c r="AP4" s="7"/>
      <c r="AQ4" s="7"/>
      <c r="AR4" s="7"/>
      <c r="AS4" s="7"/>
      <c r="AT4" s="7" t="s">
        <v>63</v>
      </c>
      <c r="AU4" s="5" t="str">
        <f t="shared" si="2"/>
        <v>This sample listing is provided solely to demonstrate the directory interface. It does not represent a live declaration, verification, endorsement or participating establishment.</v>
      </c>
      <c r="AV4" s="5" t="str">
        <f t="shared" si="3"/>
        <v>Complete</v>
      </c>
      <c r="AW4" s="5" t="str">
        <f t="shared" si="4"/>
        <v>Ready</v>
      </c>
      <c r="AX4" s="8" t="str">
        <f t="shared" si="5"/>
        <v>Demo record</v>
      </c>
    </row>
    <row r="5" spans="1:50" ht="60" customHeight="1" x14ac:dyDescent="0.45">
      <c r="A5" s="5" t="str">
        <f t="shared" si="0"/>
        <v>est-004</v>
      </c>
      <c r="B5" s="6" t="s">
        <v>92</v>
      </c>
      <c r="C5" s="6" t="s">
        <v>51</v>
      </c>
      <c r="D5" s="6" t="s">
        <v>93</v>
      </c>
      <c r="E5" s="7" t="s">
        <v>94</v>
      </c>
      <c r="F5" s="5" t="str">
        <f t="shared" si="1"/>
        <v>73</v>
      </c>
      <c r="G5" s="7"/>
      <c r="H5" s="5" t="s">
        <v>95</v>
      </c>
      <c r="I5" s="5" t="s">
        <v>96</v>
      </c>
      <c r="J5" s="5" t="s">
        <v>97</v>
      </c>
      <c r="K5" s="7" t="s">
        <v>98</v>
      </c>
      <c r="L5" s="7" t="s">
        <v>99</v>
      </c>
      <c r="M5" s="7">
        <v>1.4367000000000001</v>
      </c>
      <c r="N5" s="7">
        <v>103.7869</v>
      </c>
      <c r="O5" s="7" t="s">
        <v>59</v>
      </c>
      <c r="P5" s="7" t="s">
        <v>60</v>
      </c>
      <c r="Q5" s="7" t="s">
        <v>61</v>
      </c>
      <c r="R5" s="5" t="s">
        <v>62</v>
      </c>
      <c r="S5" s="7"/>
      <c r="T5" s="7"/>
      <c r="U5" s="7" t="s">
        <v>63</v>
      </c>
      <c r="V5" s="7" t="s">
        <v>63</v>
      </c>
      <c r="W5" s="7" t="s">
        <v>63</v>
      </c>
      <c r="X5" s="7" t="s">
        <v>61</v>
      </c>
      <c r="Y5" s="7" t="s">
        <v>61</v>
      </c>
      <c r="Z5" s="7" t="s">
        <v>61</v>
      </c>
      <c r="AA5" s="7" t="s">
        <v>61</v>
      </c>
      <c r="AB5" s="7" t="s">
        <v>61</v>
      </c>
      <c r="AC5" s="7" t="s">
        <v>61</v>
      </c>
      <c r="AD5" s="7" t="s">
        <v>63</v>
      </c>
      <c r="AE5" s="7" t="s">
        <v>63</v>
      </c>
      <c r="AF5" s="7" t="s">
        <v>63</v>
      </c>
      <c r="AG5" s="7" t="s">
        <v>63</v>
      </c>
      <c r="AH5" s="7"/>
      <c r="AI5" s="5" t="s">
        <v>100</v>
      </c>
      <c r="AJ5" s="7"/>
      <c r="AK5" s="7" t="s">
        <v>101</v>
      </c>
      <c r="AL5" s="7" t="s">
        <v>102</v>
      </c>
      <c r="AM5" s="7" t="s">
        <v>103</v>
      </c>
      <c r="AN5" s="7"/>
      <c r="AO5" s="7"/>
      <c r="AP5" s="7"/>
      <c r="AQ5" s="7"/>
      <c r="AR5" s="7"/>
      <c r="AS5" s="7"/>
      <c r="AT5" s="7" t="s">
        <v>63</v>
      </c>
      <c r="AU5" s="5" t="str">
        <f t="shared" si="2"/>
        <v>This sample listing is provided solely to demonstrate the directory interface. It does not represent a live declaration, verification, endorsement or participating establishment.</v>
      </c>
      <c r="AV5" s="5" t="str">
        <f t="shared" si="3"/>
        <v>Complete</v>
      </c>
      <c r="AW5" s="5" t="str">
        <f t="shared" si="4"/>
        <v>Ready</v>
      </c>
      <c r="AX5" s="8" t="str">
        <f t="shared" si="5"/>
        <v>Demo record</v>
      </c>
    </row>
    <row r="6" spans="1:50" ht="60" customHeight="1" x14ac:dyDescent="0.45">
      <c r="A6" s="5" t="str">
        <f t="shared" si="0"/>
        <v>est-005</v>
      </c>
      <c r="B6" s="6" t="s">
        <v>104</v>
      </c>
      <c r="C6" s="6" t="s">
        <v>51</v>
      </c>
      <c r="D6" s="6" t="s">
        <v>105</v>
      </c>
      <c r="E6" s="7" t="s">
        <v>106</v>
      </c>
      <c r="F6" s="5" t="str">
        <f t="shared" si="1"/>
        <v>44</v>
      </c>
      <c r="G6" s="7"/>
      <c r="H6" s="5" t="s">
        <v>107</v>
      </c>
      <c r="I6" s="5" t="s">
        <v>108</v>
      </c>
      <c r="J6" s="5" t="s">
        <v>109</v>
      </c>
      <c r="K6" s="7" t="s">
        <v>110</v>
      </c>
      <c r="L6" s="7" t="s">
        <v>111</v>
      </c>
      <c r="M6" s="7">
        <v>1.3002</v>
      </c>
      <c r="N6" s="7">
        <v>103.9294</v>
      </c>
      <c r="O6" s="7" t="s">
        <v>59</v>
      </c>
      <c r="P6" s="7" t="s">
        <v>60</v>
      </c>
      <c r="Q6" s="7" t="s">
        <v>61</v>
      </c>
      <c r="R6" s="5" t="s">
        <v>62</v>
      </c>
      <c r="S6" s="7"/>
      <c r="T6" s="7"/>
      <c r="U6" s="7" t="s">
        <v>63</v>
      </c>
      <c r="V6" s="7" t="s">
        <v>63</v>
      </c>
      <c r="W6" s="7" t="s">
        <v>63</v>
      </c>
      <c r="X6" s="7" t="s">
        <v>63</v>
      </c>
      <c r="Y6" s="7" t="s">
        <v>63</v>
      </c>
      <c r="Z6" s="7" t="s">
        <v>61</v>
      </c>
      <c r="AA6" s="7" t="s">
        <v>61</v>
      </c>
      <c r="AB6" s="7" t="s">
        <v>63</v>
      </c>
      <c r="AC6" s="7" t="s">
        <v>61</v>
      </c>
      <c r="AD6" s="7" t="s">
        <v>61</v>
      </c>
      <c r="AE6" s="7" t="s">
        <v>61</v>
      </c>
      <c r="AF6" s="7" t="s">
        <v>61</v>
      </c>
      <c r="AG6" s="7" t="s">
        <v>61</v>
      </c>
      <c r="AH6" s="7"/>
      <c r="AI6" s="5" t="s">
        <v>112</v>
      </c>
      <c r="AJ6" s="7" t="s">
        <v>113</v>
      </c>
      <c r="AK6" s="7"/>
      <c r="AL6" s="7" t="s">
        <v>114</v>
      </c>
      <c r="AM6" s="7" t="s">
        <v>115</v>
      </c>
      <c r="AN6" s="7"/>
      <c r="AO6" s="7"/>
      <c r="AP6" s="7"/>
      <c r="AQ6" s="7"/>
      <c r="AR6" s="7"/>
      <c r="AS6" s="7"/>
      <c r="AT6" s="7" t="s">
        <v>63</v>
      </c>
      <c r="AU6" s="5" t="str">
        <f t="shared" si="2"/>
        <v>This sample listing is provided solely to demonstrate the directory interface. It does not represent a live declaration, verification, endorsement or participating establishment.</v>
      </c>
      <c r="AV6" s="5" t="str">
        <f t="shared" si="3"/>
        <v>Complete</v>
      </c>
      <c r="AW6" s="5" t="str">
        <f t="shared" si="4"/>
        <v>Ready</v>
      </c>
      <c r="AX6" s="8" t="str">
        <f t="shared" si="5"/>
        <v>Demo record</v>
      </c>
    </row>
    <row r="7" spans="1:50" ht="60" customHeight="1" x14ac:dyDescent="0.45">
      <c r="A7" s="5" t="str">
        <f t="shared" si="0"/>
        <v>est-006</v>
      </c>
      <c r="B7" s="6" t="s">
        <v>116</v>
      </c>
      <c r="C7" s="6" t="s">
        <v>51</v>
      </c>
      <c r="D7" s="6" t="s">
        <v>117</v>
      </c>
      <c r="E7" s="7" t="s">
        <v>118</v>
      </c>
      <c r="F7" s="5" t="str">
        <f t="shared" si="1"/>
        <v>52</v>
      </c>
      <c r="G7" s="7"/>
      <c r="H7" s="5" t="s">
        <v>119</v>
      </c>
      <c r="I7" s="5" t="s">
        <v>120</v>
      </c>
      <c r="J7" s="5" t="s">
        <v>121</v>
      </c>
      <c r="K7" s="7" t="s">
        <v>122</v>
      </c>
      <c r="L7" s="7" t="s">
        <v>75</v>
      </c>
      <c r="M7" s="7">
        <v>1.3531</v>
      </c>
      <c r="N7" s="7">
        <v>103.9448</v>
      </c>
      <c r="O7" s="7" t="s">
        <v>123</v>
      </c>
      <c r="P7" s="7" t="s">
        <v>124</v>
      </c>
      <c r="Q7" s="7"/>
      <c r="R7" s="5" t="s">
        <v>125</v>
      </c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 t="s">
        <v>126</v>
      </c>
      <c r="AI7" s="5" t="s">
        <v>126</v>
      </c>
      <c r="AJ7" s="7"/>
      <c r="AK7" s="7" t="s">
        <v>127</v>
      </c>
      <c r="AL7" s="7"/>
      <c r="AM7" s="7" t="s">
        <v>67</v>
      </c>
      <c r="AN7" s="7"/>
      <c r="AO7" s="7"/>
      <c r="AP7" s="7"/>
      <c r="AQ7" s="7"/>
      <c r="AR7" s="7"/>
      <c r="AS7" s="7"/>
      <c r="AT7" s="7" t="s">
        <v>63</v>
      </c>
      <c r="AU7" s="5" t="str">
        <f t="shared" si="2"/>
        <v>This sample listing is provided solely to demonstrate the directory interface. It does not represent a live declaration, verification, endorsement or participating establishment.</v>
      </c>
      <c r="AV7" s="5" t="str">
        <f t="shared" si="3"/>
        <v>Complete</v>
      </c>
      <c r="AW7" s="5" t="str">
        <f t="shared" si="4"/>
        <v>Ready</v>
      </c>
      <c r="AX7" s="8" t="str">
        <f t="shared" si="5"/>
        <v>Demo record</v>
      </c>
    </row>
    <row r="8" spans="1:50" ht="60" customHeight="1" x14ac:dyDescent="0.45">
      <c r="A8" s="5" t="str">
        <f t="shared" si="0"/>
        <v>est-007</v>
      </c>
      <c r="B8" s="6" t="s">
        <v>128</v>
      </c>
      <c r="C8" s="6" t="s">
        <v>51</v>
      </c>
      <c r="D8" s="6" t="s">
        <v>129</v>
      </c>
      <c r="E8" s="7" t="s">
        <v>130</v>
      </c>
      <c r="F8" s="5" t="str">
        <f t="shared" si="1"/>
        <v>60</v>
      </c>
      <c r="G8" s="7"/>
      <c r="H8" s="5" t="s">
        <v>131</v>
      </c>
      <c r="I8" s="5" t="s">
        <v>132</v>
      </c>
      <c r="J8" s="5" t="s">
        <v>133</v>
      </c>
      <c r="K8" s="7" t="s">
        <v>134</v>
      </c>
      <c r="L8" s="7" t="s">
        <v>135</v>
      </c>
      <c r="M8" s="7">
        <v>1.3331</v>
      </c>
      <c r="N8" s="7">
        <v>103.742</v>
      </c>
      <c r="O8" s="7" t="s">
        <v>59</v>
      </c>
      <c r="P8" s="7" t="s">
        <v>60</v>
      </c>
      <c r="Q8" s="7" t="s">
        <v>61</v>
      </c>
      <c r="R8" s="5" t="s">
        <v>62</v>
      </c>
      <c r="S8" s="7"/>
      <c r="T8" s="7"/>
      <c r="U8" s="7" t="s">
        <v>63</v>
      </c>
      <c r="V8" s="7" t="s">
        <v>63</v>
      </c>
      <c r="W8" s="7" t="s">
        <v>63</v>
      </c>
      <c r="X8" s="7" t="s">
        <v>61</v>
      </c>
      <c r="Y8" s="7" t="s">
        <v>61</v>
      </c>
      <c r="Z8" s="7" t="s">
        <v>61</v>
      </c>
      <c r="AA8" s="7" t="s">
        <v>61</v>
      </c>
      <c r="AB8" s="7" t="s">
        <v>61</v>
      </c>
      <c r="AC8" s="7" t="s">
        <v>61</v>
      </c>
      <c r="AD8" s="7" t="s">
        <v>61</v>
      </c>
      <c r="AE8" s="7" t="s">
        <v>61</v>
      </c>
      <c r="AF8" s="7" t="s">
        <v>61</v>
      </c>
      <c r="AG8" s="7" t="s">
        <v>61</v>
      </c>
      <c r="AH8" s="7"/>
      <c r="AI8" s="5" t="s">
        <v>64</v>
      </c>
      <c r="AJ8" s="7"/>
      <c r="AK8" s="7"/>
      <c r="AL8" s="7" t="s">
        <v>136</v>
      </c>
      <c r="AM8" s="7" t="s">
        <v>137</v>
      </c>
      <c r="AN8" s="7"/>
      <c r="AO8" s="7"/>
      <c r="AP8" s="7"/>
      <c r="AQ8" s="7"/>
      <c r="AR8" s="7"/>
      <c r="AS8" s="7"/>
      <c r="AT8" s="7" t="s">
        <v>63</v>
      </c>
      <c r="AU8" s="5" t="str">
        <f t="shared" si="2"/>
        <v>This sample listing is provided solely to demonstrate the directory interface. It does not represent a live declaration, verification, endorsement or participating establishment.</v>
      </c>
      <c r="AV8" s="5" t="str">
        <f t="shared" si="3"/>
        <v>Complete</v>
      </c>
      <c r="AW8" s="5" t="str">
        <f t="shared" si="4"/>
        <v>Ready</v>
      </c>
      <c r="AX8" s="8" t="str">
        <f t="shared" si="5"/>
        <v>Demo record</v>
      </c>
    </row>
    <row r="9" spans="1:50" ht="60" customHeight="1" x14ac:dyDescent="0.45">
      <c r="A9" s="5" t="str">
        <f t="shared" si="0"/>
        <v>est-008</v>
      </c>
      <c r="B9" s="6" t="s">
        <v>138</v>
      </c>
      <c r="C9" s="6" t="s">
        <v>51</v>
      </c>
      <c r="D9" s="6" t="s">
        <v>139</v>
      </c>
      <c r="E9" s="7" t="s">
        <v>140</v>
      </c>
      <c r="F9" s="5" t="str">
        <f t="shared" si="1"/>
        <v>82</v>
      </c>
      <c r="G9" s="7"/>
      <c r="H9" s="5" t="s">
        <v>141</v>
      </c>
      <c r="I9" s="5" t="s">
        <v>142</v>
      </c>
      <c r="J9" s="5" t="s">
        <v>143</v>
      </c>
      <c r="K9" s="7" t="s">
        <v>58</v>
      </c>
      <c r="L9" s="7" t="s">
        <v>58</v>
      </c>
      <c r="M9" s="7">
        <v>1.4045000000000001</v>
      </c>
      <c r="N9" s="7">
        <v>103.9025</v>
      </c>
      <c r="O9" s="7" t="s">
        <v>59</v>
      </c>
      <c r="P9" s="7" t="s">
        <v>60</v>
      </c>
      <c r="Q9" s="7" t="s">
        <v>61</v>
      </c>
      <c r="R9" s="5" t="s">
        <v>62</v>
      </c>
      <c r="S9" s="7"/>
      <c r="T9" s="7"/>
      <c r="U9" s="7" t="s">
        <v>63</v>
      </c>
      <c r="V9" s="7" t="s">
        <v>63</v>
      </c>
      <c r="W9" s="7" t="s">
        <v>63</v>
      </c>
      <c r="X9" s="7" t="s">
        <v>61</v>
      </c>
      <c r="Y9" s="7" t="s">
        <v>61</v>
      </c>
      <c r="Z9" s="7" t="s">
        <v>61</v>
      </c>
      <c r="AA9" s="7" t="s">
        <v>61</v>
      </c>
      <c r="AB9" s="7" t="s">
        <v>61</v>
      </c>
      <c r="AC9" s="7" t="s">
        <v>61</v>
      </c>
      <c r="AD9" s="7" t="s">
        <v>63</v>
      </c>
      <c r="AE9" s="7" t="s">
        <v>61</v>
      </c>
      <c r="AF9" s="7" t="s">
        <v>61</v>
      </c>
      <c r="AG9" s="7" t="s">
        <v>63</v>
      </c>
      <c r="AH9" s="7"/>
      <c r="AI9" s="5" t="s">
        <v>144</v>
      </c>
      <c r="AJ9" s="7"/>
      <c r="AK9" s="7"/>
      <c r="AL9" s="7" t="s">
        <v>145</v>
      </c>
      <c r="AM9" s="7" t="s">
        <v>146</v>
      </c>
      <c r="AN9" s="7"/>
      <c r="AO9" s="7"/>
      <c r="AP9" s="7"/>
      <c r="AQ9" s="7"/>
      <c r="AR9" s="7"/>
      <c r="AS9" s="7"/>
      <c r="AT9" s="7" t="s">
        <v>63</v>
      </c>
      <c r="AU9" s="5" t="str">
        <f t="shared" si="2"/>
        <v>This sample listing is provided solely to demonstrate the directory interface. It does not represent a live declaration, verification, endorsement or participating establishment.</v>
      </c>
      <c r="AV9" s="5" t="str">
        <f t="shared" si="3"/>
        <v>Complete</v>
      </c>
      <c r="AW9" s="5" t="str">
        <f t="shared" si="4"/>
        <v>Ready</v>
      </c>
      <c r="AX9" s="8" t="str">
        <f t="shared" si="5"/>
        <v>Demo record</v>
      </c>
    </row>
  </sheetData>
  <conditionalFormatting sqref="AV2:AV10000">
    <cfRule type="expression" dxfId="5" priority="5">
      <formula>$AV2="Complete"</formula>
    </cfRule>
    <cfRule type="expression" dxfId="4" priority="6">
      <formula>$AV2&lt;&gt;"Complete"</formula>
    </cfRule>
  </conditionalFormatting>
  <conditionalFormatting sqref="AX2:AX10000">
    <cfRule type="expression" dxfId="3" priority="1">
      <formula>$AX2="Ready for publication"</formula>
    </cfRule>
    <cfRule type="expression" dxfId="2" priority="2">
      <formula>$AX2="Demo record"</formula>
    </cfRule>
    <cfRule type="expression" dxfId="1" priority="3">
      <formula>NOT(ISERROR(SEARCH("required",$AX2)))</formula>
    </cfRule>
    <cfRule type="expression" dxfId="0" priority="4">
      <formula>NOT(ISERROR(SEARCH("Invalid",$AX2)))</formula>
    </cfRule>
  </conditionalFormatting>
  <dataValidations count="6">
    <dataValidation type="list" showErrorMessage="1" errorTitle="Invalid" error="Select a value." sqref="C2:C10000" xr:uid="{00000000-0002-0000-0000-000000000000}">
      <formula1>"Singapore,Japan,Malaysia,Indonesia,United Kingdom,United States,Australia,Other"</formula1>
    </dataValidation>
    <dataValidation type="list" showErrorMessage="1" errorTitle="Invalid" error="Select a value." sqref="Q2:Q10000 AT2:AT10000 U2:AG10000" xr:uid="{00000000-0002-0000-0000-000001000000}">
      <formula1>"TRUE,FALSE,Not Stated"</formula1>
    </dataValidation>
    <dataValidation type="list" showErrorMessage="1" errorTitle="Invalid" error="Select a value." sqref="O2:O10000" xr:uid="{00000000-0002-0000-0000-000010000000}">
      <formula1>"Self-declared Muslim-friendly,Community suggested — not verified,Halal certified,Pending verification"</formula1>
    </dataValidation>
    <dataValidation type="list" showErrorMessage="1" errorTitle="Invalid" error="Select a value." sqref="S2:S10000" xr:uid="{00000000-0002-0000-0000-000011000000}">
      <formula1>"Muis (Singapore),JAKIM (Malaysia),MUI (Indonesia),Other"</formula1>
    </dataValidation>
    <dataValidation type="list" showErrorMessage="1" errorTitle="Invalid" error="Select a value." sqref="K2:K10000" xr:uid="{00000000-0002-0000-0000-000012000000}">
      <formula1>"Café,Café / Brunch,Japanese,Korean,Western,Chinese,Malay,Indian,Indonesian,Thai,Vietnamese,Mediterranean,Fusion,International,Local / Hawker,Middle Eastern,Other"</formula1>
    </dataValidation>
    <dataValidation type="list" showErrorMessage="1" errorTitle="Invalid" error="Select a value." sqref="L2:L10000" xr:uid="{00000000-0002-0000-0000-000013000000}">
      <formula1>"Restaurant,Café,Bar &amp; Grill,Bistro,Casual Dining,Food Court,Hawker,Hotel Restaurant,Bakery,Caterer,Other"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4" customWidth="1"/>
    <col min="2" max="2" width="12" customWidth="1"/>
    <col min="3" max="3" width="14" customWidth="1"/>
    <col min="4" max="4" width="28" customWidth="1"/>
    <col min="5" max="5" width="18" customWidth="1"/>
    <col min="6" max="6" width="30" customWidth="1"/>
  </cols>
  <sheetData>
    <row r="1" spans="1:6" x14ac:dyDescent="0.45">
      <c r="A1" s="9" t="s">
        <v>5</v>
      </c>
      <c r="B1" s="9" t="s">
        <v>8</v>
      </c>
      <c r="C1" s="9" t="s">
        <v>9</v>
      </c>
      <c r="D1" s="9" t="s">
        <v>147</v>
      </c>
      <c r="E1" s="9" t="s">
        <v>148</v>
      </c>
      <c r="F1" s="9" t="s">
        <v>149</v>
      </c>
    </row>
    <row r="2" spans="1:6" x14ac:dyDescent="0.45">
      <c r="A2" s="10" t="s">
        <v>150</v>
      </c>
      <c r="B2" s="10" t="s">
        <v>72</v>
      </c>
      <c r="C2" s="10" t="s">
        <v>73</v>
      </c>
      <c r="D2" s="10" t="s">
        <v>151</v>
      </c>
      <c r="E2" s="10" t="s">
        <v>152</v>
      </c>
    </row>
    <row r="3" spans="1:6" x14ac:dyDescent="0.45">
      <c r="A3" s="10" t="s">
        <v>153</v>
      </c>
      <c r="B3" s="10" t="s">
        <v>72</v>
      </c>
      <c r="C3" s="10" t="s">
        <v>73</v>
      </c>
      <c r="D3" s="10" t="s">
        <v>151</v>
      </c>
      <c r="E3" s="10" t="s">
        <v>152</v>
      </c>
    </row>
    <row r="4" spans="1:6" x14ac:dyDescent="0.45">
      <c r="A4" s="10" t="s">
        <v>154</v>
      </c>
      <c r="B4" s="10" t="s">
        <v>72</v>
      </c>
      <c r="C4" s="10" t="s">
        <v>73</v>
      </c>
      <c r="D4" s="10" t="s">
        <v>151</v>
      </c>
      <c r="E4" s="10" t="s">
        <v>152</v>
      </c>
    </row>
    <row r="5" spans="1:6" x14ac:dyDescent="0.45">
      <c r="A5" s="10" t="s">
        <v>155</v>
      </c>
      <c r="B5" s="10" t="s">
        <v>72</v>
      </c>
      <c r="C5" s="10" t="s">
        <v>73</v>
      </c>
      <c r="D5" s="10" t="s">
        <v>151</v>
      </c>
      <c r="E5" s="10" t="s">
        <v>152</v>
      </c>
    </row>
    <row r="6" spans="1:6" x14ac:dyDescent="0.45">
      <c r="A6" s="10" t="s">
        <v>156</v>
      </c>
      <c r="B6" s="10" t="s">
        <v>72</v>
      </c>
      <c r="C6" s="10" t="s">
        <v>73</v>
      </c>
      <c r="D6" s="10" t="s">
        <v>151</v>
      </c>
      <c r="E6" s="10" t="s">
        <v>152</v>
      </c>
    </row>
    <row r="7" spans="1:6" x14ac:dyDescent="0.45">
      <c r="A7" s="10" t="s">
        <v>157</v>
      </c>
      <c r="B7" s="10" t="s">
        <v>72</v>
      </c>
      <c r="C7" s="10" t="s">
        <v>73</v>
      </c>
      <c r="D7" s="10" t="s">
        <v>151</v>
      </c>
      <c r="E7" s="10" t="s">
        <v>152</v>
      </c>
    </row>
    <row r="8" spans="1:6" x14ac:dyDescent="0.45">
      <c r="A8" s="10" t="s">
        <v>158</v>
      </c>
      <c r="B8" s="10" t="s">
        <v>55</v>
      </c>
      <c r="C8" s="10" t="s">
        <v>56</v>
      </c>
      <c r="D8" s="10" t="s">
        <v>54</v>
      </c>
      <c r="E8" s="10" t="s">
        <v>152</v>
      </c>
    </row>
    <row r="9" spans="1:6" x14ac:dyDescent="0.45">
      <c r="A9" s="10" t="s">
        <v>159</v>
      </c>
      <c r="B9" s="10" t="s">
        <v>55</v>
      </c>
      <c r="C9" s="10" t="s">
        <v>56</v>
      </c>
      <c r="D9" s="10" t="s">
        <v>54</v>
      </c>
      <c r="E9" s="10" t="s">
        <v>152</v>
      </c>
    </row>
    <row r="10" spans="1:6" x14ac:dyDescent="0.45">
      <c r="A10" s="10" t="s">
        <v>160</v>
      </c>
      <c r="B10" s="10" t="s">
        <v>161</v>
      </c>
      <c r="C10" s="10" t="s">
        <v>162</v>
      </c>
      <c r="D10" s="10" t="s">
        <v>163</v>
      </c>
      <c r="E10" s="10" t="s">
        <v>152</v>
      </c>
    </row>
    <row r="11" spans="1:6" x14ac:dyDescent="0.45">
      <c r="A11" s="10" t="s">
        <v>164</v>
      </c>
      <c r="B11" s="10" t="s">
        <v>161</v>
      </c>
      <c r="C11" s="10" t="s">
        <v>162</v>
      </c>
      <c r="D11" s="10" t="s">
        <v>163</v>
      </c>
      <c r="E11" s="10" t="s">
        <v>152</v>
      </c>
    </row>
    <row r="12" spans="1:6" x14ac:dyDescent="0.45">
      <c r="A12" s="10" t="s">
        <v>165</v>
      </c>
      <c r="B12" s="10" t="s">
        <v>166</v>
      </c>
      <c r="C12" s="10" t="s">
        <v>167</v>
      </c>
      <c r="D12" s="10" t="s">
        <v>168</v>
      </c>
      <c r="E12" s="10" t="s">
        <v>152</v>
      </c>
    </row>
    <row r="13" spans="1:6" x14ac:dyDescent="0.45">
      <c r="A13" s="10" t="s">
        <v>169</v>
      </c>
      <c r="B13" s="10" t="s">
        <v>166</v>
      </c>
      <c r="C13" s="10" t="s">
        <v>167</v>
      </c>
      <c r="D13" s="10" t="s">
        <v>168</v>
      </c>
      <c r="E13" s="10" t="s">
        <v>152</v>
      </c>
    </row>
    <row r="14" spans="1:6" x14ac:dyDescent="0.45">
      <c r="A14" s="10" t="s">
        <v>170</v>
      </c>
      <c r="B14" s="10" t="s">
        <v>166</v>
      </c>
      <c r="C14" s="10" t="s">
        <v>167</v>
      </c>
      <c r="D14" s="10" t="s">
        <v>168</v>
      </c>
      <c r="E14" s="10" t="s">
        <v>152</v>
      </c>
    </row>
    <row r="15" spans="1:6" x14ac:dyDescent="0.45">
      <c r="A15" s="10" t="s">
        <v>171</v>
      </c>
      <c r="B15" s="10" t="s">
        <v>172</v>
      </c>
      <c r="C15" s="10" t="s">
        <v>173</v>
      </c>
      <c r="D15" s="10" t="s">
        <v>174</v>
      </c>
      <c r="E15" s="10" t="s">
        <v>175</v>
      </c>
    </row>
    <row r="16" spans="1:6" x14ac:dyDescent="0.45">
      <c r="A16" s="10" t="s">
        <v>176</v>
      </c>
      <c r="B16" s="10" t="s">
        <v>172</v>
      </c>
      <c r="C16" s="10" t="s">
        <v>173</v>
      </c>
      <c r="D16" s="10" t="s">
        <v>174</v>
      </c>
      <c r="E16" s="10" t="s">
        <v>175</v>
      </c>
    </row>
    <row r="17" spans="1:5" x14ac:dyDescent="0.45">
      <c r="A17" s="10" t="s">
        <v>177</v>
      </c>
      <c r="B17" s="10" t="s">
        <v>172</v>
      </c>
      <c r="C17" s="10" t="s">
        <v>173</v>
      </c>
      <c r="D17" s="10" t="s">
        <v>174</v>
      </c>
      <c r="E17" s="10" t="s">
        <v>175</v>
      </c>
    </row>
    <row r="18" spans="1:5" x14ac:dyDescent="0.45">
      <c r="A18" s="10" t="s">
        <v>178</v>
      </c>
      <c r="B18" s="10" t="s">
        <v>179</v>
      </c>
      <c r="C18" s="10" t="s">
        <v>180</v>
      </c>
      <c r="D18" s="10" t="s">
        <v>181</v>
      </c>
      <c r="E18" s="10" t="s">
        <v>152</v>
      </c>
    </row>
    <row r="19" spans="1:5" x14ac:dyDescent="0.45">
      <c r="A19" s="10" t="s">
        <v>182</v>
      </c>
      <c r="B19" s="10" t="s">
        <v>183</v>
      </c>
      <c r="C19" s="10" t="s">
        <v>184</v>
      </c>
      <c r="D19" s="10" t="s">
        <v>185</v>
      </c>
      <c r="E19" s="10" t="s">
        <v>152</v>
      </c>
    </row>
    <row r="20" spans="1:5" x14ac:dyDescent="0.45">
      <c r="A20" s="10" t="s">
        <v>186</v>
      </c>
      <c r="B20" s="10" t="s">
        <v>183</v>
      </c>
      <c r="C20" s="10" t="s">
        <v>184</v>
      </c>
      <c r="D20" s="10" t="s">
        <v>185</v>
      </c>
      <c r="E20" s="10" t="s">
        <v>152</v>
      </c>
    </row>
    <row r="21" spans="1:5" x14ac:dyDescent="0.45">
      <c r="A21" s="10" t="s">
        <v>187</v>
      </c>
      <c r="B21" s="10" t="s">
        <v>188</v>
      </c>
      <c r="C21" s="10" t="s">
        <v>189</v>
      </c>
      <c r="D21" s="10" t="s">
        <v>190</v>
      </c>
      <c r="E21" s="10" t="s">
        <v>152</v>
      </c>
    </row>
    <row r="22" spans="1:5" x14ac:dyDescent="0.45">
      <c r="A22" s="10" t="s">
        <v>191</v>
      </c>
      <c r="B22" s="10" t="s">
        <v>188</v>
      </c>
      <c r="C22" s="10" t="s">
        <v>189</v>
      </c>
      <c r="D22" s="10" t="s">
        <v>190</v>
      </c>
      <c r="E22" s="10" t="s">
        <v>152</v>
      </c>
    </row>
    <row r="23" spans="1:5" x14ac:dyDescent="0.45">
      <c r="A23" s="10" t="s">
        <v>192</v>
      </c>
      <c r="B23" s="10" t="s">
        <v>85</v>
      </c>
      <c r="C23" s="10" t="s">
        <v>86</v>
      </c>
      <c r="D23" s="10" t="s">
        <v>84</v>
      </c>
      <c r="E23" s="10" t="s">
        <v>152</v>
      </c>
    </row>
    <row r="24" spans="1:5" x14ac:dyDescent="0.45">
      <c r="A24" s="10" t="s">
        <v>193</v>
      </c>
      <c r="B24" s="10" t="s">
        <v>85</v>
      </c>
      <c r="C24" s="10" t="s">
        <v>86</v>
      </c>
      <c r="D24" s="10" t="s">
        <v>84</v>
      </c>
      <c r="E24" s="10" t="s">
        <v>152</v>
      </c>
    </row>
    <row r="25" spans="1:5" x14ac:dyDescent="0.45">
      <c r="A25" s="10" t="s">
        <v>194</v>
      </c>
      <c r="B25" s="10" t="s">
        <v>195</v>
      </c>
      <c r="C25" s="10" t="s">
        <v>196</v>
      </c>
      <c r="D25" s="10" t="s">
        <v>197</v>
      </c>
      <c r="E25" s="10" t="s">
        <v>152</v>
      </c>
    </row>
    <row r="26" spans="1:5" x14ac:dyDescent="0.45">
      <c r="A26" s="10" t="s">
        <v>198</v>
      </c>
      <c r="B26" s="10" t="s">
        <v>195</v>
      </c>
      <c r="C26" s="10" t="s">
        <v>196</v>
      </c>
      <c r="D26" s="10" t="s">
        <v>197</v>
      </c>
      <c r="E26" s="10" t="s">
        <v>152</v>
      </c>
    </row>
    <row r="27" spans="1:5" x14ac:dyDescent="0.45">
      <c r="A27" s="10" t="s">
        <v>199</v>
      </c>
      <c r="B27" s="10" t="s">
        <v>195</v>
      </c>
      <c r="C27" s="10" t="s">
        <v>196</v>
      </c>
      <c r="D27" s="10" t="s">
        <v>197</v>
      </c>
      <c r="E27" s="10" t="s">
        <v>152</v>
      </c>
    </row>
    <row r="28" spans="1:5" x14ac:dyDescent="0.45">
      <c r="A28" s="10" t="s">
        <v>200</v>
      </c>
      <c r="B28" s="10" t="s">
        <v>195</v>
      </c>
      <c r="C28" s="10" t="s">
        <v>196</v>
      </c>
      <c r="D28" s="10" t="s">
        <v>201</v>
      </c>
      <c r="E28" s="10" t="s">
        <v>152</v>
      </c>
    </row>
    <row r="29" spans="1:5" x14ac:dyDescent="0.45">
      <c r="A29" s="10" t="s">
        <v>202</v>
      </c>
      <c r="B29" s="10" t="s">
        <v>203</v>
      </c>
      <c r="C29" s="10" t="s">
        <v>204</v>
      </c>
      <c r="D29" s="10" t="s">
        <v>205</v>
      </c>
      <c r="E29" s="10" t="s">
        <v>152</v>
      </c>
    </row>
    <row r="30" spans="1:5" x14ac:dyDescent="0.45">
      <c r="A30" s="10" t="s">
        <v>206</v>
      </c>
      <c r="B30" s="10" t="s">
        <v>203</v>
      </c>
      <c r="C30" s="10" t="s">
        <v>204</v>
      </c>
      <c r="D30" s="10" t="s">
        <v>205</v>
      </c>
      <c r="E30" s="10" t="s">
        <v>152</v>
      </c>
    </row>
    <row r="31" spans="1:5" x14ac:dyDescent="0.45">
      <c r="A31" s="10" t="s">
        <v>207</v>
      </c>
      <c r="B31" s="10" t="s">
        <v>203</v>
      </c>
      <c r="C31" s="10" t="s">
        <v>204</v>
      </c>
      <c r="D31" s="10" t="s">
        <v>208</v>
      </c>
      <c r="E31" s="10" t="s">
        <v>152</v>
      </c>
    </row>
    <row r="32" spans="1:5" x14ac:dyDescent="0.45">
      <c r="A32" s="10" t="s">
        <v>209</v>
      </c>
      <c r="B32" s="10" t="s">
        <v>210</v>
      </c>
      <c r="C32" s="10" t="s">
        <v>211</v>
      </c>
      <c r="D32" s="10" t="s">
        <v>212</v>
      </c>
      <c r="E32" s="10" t="s">
        <v>152</v>
      </c>
    </row>
    <row r="33" spans="1:5" x14ac:dyDescent="0.45">
      <c r="A33" s="10" t="s">
        <v>213</v>
      </c>
      <c r="B33" s="10" t="s">
        <v>210</v>
      </c>
      <c r="C33" s="10" t="s">
        <v>211</v>
      </c>
      <c r="D33" s="10" t="s">
        <v>214</v>
      </c>
      <c r="E33" s="10" t="s">
        <v>152</v>
      </c>
    </row>
    <row r="34" spans="1:5" x14ac:dyDescent="0.45">
      <c r="A34" s="10" t="s">
        <v>215</v>
      </c>
      <c r="B34" s="10" t="s">
        <v>210</v>
      </c>
      <c r="C34" s="10" t="s">
        <v>211</v>
      </c>
      <c r="D34" s="10" t="s">
        <v>214</v>
      </c>
      <c r="E34" s="10" t="s">
        <v>152</v>
      </c>
    </row>
    <row r="35" spans="1:5" x14ac:dyDescent="0.45">
      <c r="A35" s="10" t="s">
        <v>216</v>
      </c>
      <c r="B35" s="10" t="s">
        <v>217</v>
      </c>
      <c r="C35" s="10" t="s">
        <v>218</v>
      </c>
      <c r="D35" s="10" t="s">
        <v>219</v>
      </c>
      <c r="E35" s="10" t="s">
        <v>152</v>
      </c>
    </row>
    <row r="36" spans="1:5" x14ac:dyDescent="0.45">
      <c r="A36" s="10" t="s">
        <v>220</v>
      </c>
      <c r="B36" s="10" t="s">
        <v>217</v>
      </c>
      <c r="C36" s="10" t="s">
        <v>218</v>
      </c>
      <c r="D36" s="10" t="s">
        <v>219</v>
      </c>
      <c r="E36" s="10" t="s">
        <v>152</v>
      </c>
    </row>
    <row r="37" spans="1:5" x14ac:dyDescent="0.45">
      <c r="A37" s="10" t="s">
        <v>221</v>
      </c>
      <c r="B37" s="10" t="s">
        <v>217</v>
      </c>
      <c r="C37" s="10" t="s">
        <v>218</v>
      </c>
      <c r="D37" s="10" t="s">
        <v>222</v>
      </c>
      <c r="E37" s="10" t="s">
        <v>152</v>
      </c>
    </row>
    <row r="38" spans="1:5" x14ac:dyDescent="0.45">
      <c r="A38" s="10" t="s">
        <v>223</v>
      </c>
      <c r="B38" s="10" t="s">
        <v>217</v>
      </c>
      <c r="C38" s="10" t="s">
        <v>218</v>
      </c>
      <c r="D38" s="10" t="s">
        <v>222</v>
      </c>
      <c r="E38" s="10" t="s">
        <v>152</v>
      </c>
    </row>
    <row r="39" spans="1:5" x14ac:dyDescent="0.45">
      <c r="A39" s="10" t="s">
        <v>224</v>
      </c>
      <c r="B39" s="10" t="s">
        <v>225</v>
      </c>
      <c r="C39" s="10" t="s">
        <v>226</v>
      </c>
      <c r="D39" s="10" t="s">
        <v>227</v>
      </c>
      <c r="E39" s="10" t="s">
        <v>228</v>
      </c>
    </row>
    <row r="40" spans="1:5" x14ac:dyDescent="0.45">
      <c r="A40" s="10" t="s">
        <v>229</v>
      </c>
      <c r="B40" s="10" t="s">
        <v>225</v>
      </c>
      <c r="C40" s="10" t="s">
        <v>226</v>
      </c>
      <c r="D40" s="10" t="s">
        <v>227</v>
      </c>
      <c r="E40" s="10" t="s">
        <v>228</v>
      </c>
    </row>
    <row r="41" spans="1:5" x14ac:dyDescent="0.45">
      <c r="A41" s="10" t="s">
        <v>230</v>
      </c>
      <c r="B41" s="10" t="s">
        <v>225</v>
      </c>
      <c r="C41" s="10" t="s">
        <v>226</v>
      </c>
      <c r="D41" s="10" t="s">
        <v>227</v>
      </c>
      <c r="E41" s="10" t="s">
        <v>228</v>
      </c>
    </row>
    <row r="42" spans="1:5" x14ac:dyDescent="0.45">
      <c r="A42" s="10" t="s">
        <v>231</v>
      </c>
      <c r="B42" s="10" t="s">
        <v>225</v>
      </c>
      <c r="C42" s="10" t="s">
        <v>226</v>
      </c>
      <c r="D42" s="10" t="s">
        <v>232</v>
      </c>
      <c r="E42" s="10" t="s">
        <v>228</v>
      </c>
    </row>
    <row r="43" spans="1:5" x14ac:dyDescent="0.45">
      <c r="A43" s="10" t="s">
        <v>233</v>
      </c>
      <c r="B43" s="10" t="s">
        <v>108</v>
      </c>
      <c r="C43" s="10" t="s">
        <v>109</v>
      </c>
      <c r="D43" s="10" t="s">
        <v>107</v>
      </c>
      <c r="E43" s="10" t="s">
        <v>228</v>
      </c>
    </row>
    <row r="44" spans="1:5" x14ac:dyDescent="0.45">
      <c r="A44" s="10" t="s">
        <v>234</v>
      </c>
      <c r="B44" s="10" t="s">
        <v>108</v>
      </c>
      <c r="C44" s="10" t="s">
        <v>109</v>
      </c>
      <c r="D44" s="10" t="s">
        <v>107</v>
      </c>
      <c r="E44" s="10" t="s">
        <v>228</v>
      </c>
    </row>
    <row r="45" spans="1:5" x14ac:dyDescent="0.45">
      <c r="A45" s="10" t="s">
        <v>235</v>
      </c>
      <c r="B45" s="10" t="s">
        <v>108</v>
      </c>
      <c r="C45" s="10" t="s">
        <v>109</v>
      </c>
      <c r="D45" s="10" t="s">
        <v>107</v>
      </c>
      <c r="E45" s="10" t="s">
        <v>228</v>
      </c>
    </row>
    <row r="46" spans="1:5" x14ac:dyDescent="0.45">
      <c r="A46" s="10" t="s">
        <v>236</v>
      </c>
      <c r="B46" s="10" t="s">
        <v>108</v>
      </c>
      <c r="C46" s="10" t="s">
        <v>109</v>
      </c>
      <c r="D46" s="10" t="s">
        <v>237</v>
      </c>
      <c r="E46" s="10" t="s">
        <v>228</v>
      </c>
    </row>
    <row r="47" spans="1:5" x14ac:dyDescent="0.45">
      <c r="A47" s="10" t="s">
        <v>238</v>
      </c>
      <c r="B47" s="10" t="s">
        <v>239</v>
      </c>
      <c r="C47" s="10" t="s">
        <v>240</v>
      </c>
      <c r="D47" s="10" t="s">
        <v>241</v>
      </c>
      <c r="E47" s="10" t="s">
        <v>228</v>
      </c>
    </row>
    <row r="48" spans="1:5" x14ac:dyDescent="0.45">
      <c r="A48" s="10" t="s">
        <v>242</v>
      </c>
      <c r="B48" s="10" t="s">
        <v>239</v>
      </c>
      <c r="C48" s="10" t="s">
        <v>240</v>
      </c>
      <c r="D48" s="10" t="s">
        <v>241</v>
      </c>
      <c r="E48" s="10" t="s">
        <v>228</v>
      </c>
    </row>
    <row r="49" spans="1:5" x14ac:dyDescent="0.45">
      <c r="A49" s="10" t="s">
        <v>243</v>
      </c>
      <c r="B49" s="10" t="s">
        <v>239</v>
      </c>
      <c r="C49" s="10" t="s">
        <v>240</v>
      </c>
      <c r="D49" s="10" t="s">
        <v>241</v>
      </c>
      <c r="E49" s="10" t="s">
        <v>228</v>
      </c>
    </row>
    <row r="50" spans="1:5" x14ac:dyDescent="0.45">
      <c r="A50" s="10" t="s">
        <v>244</v>
      </c>
      <c r="B50" s="10" t="s">
        <v>245</v>
      </c>
      <c r="C50" s="10" t="s">
        <v>246</v>
      </c>
      <c r="D50" s="10" t="s">
        <v>247</v>
      </c>
      <c r="E50" s="10" t="s">
        <v>228</v>
      </c>
    </row>
    <row r="51" spans="1:5" x14ac:dyDescent="0.45">
      <c r="A51" s="10" t="s">
        <v>248</v>
      </c>
      <c r="B51" s="10" t="s">
        <v>245</v>
      </c>
      <c r="C51" s="10" t="s">
        <v>246</v>
      </c>
      <c r="D51" s="10" t="s">
        <v>247</v>
      </c>
      <c r="E51" s="10" t="s">
        <v>228</v>
      </c>
    </row>
    <row r="52" spans="1:5" x14ac:dyDescent="0.45">
      <c r="A52" s="10" t="s">
        <v>249</v>
      </c>
      <c r="B52" s="10" t="s">
        <v>120</v>
      </c>
      <c r="C52" s="10" t="s">
        <v>121</v>
      </c>
      <c r="D52" s="10" t="s">
        <v>119</v>
      </c>
      <c r="E52" s="10" t="s">
        <v>228</v>
      </c>
    </row>
    <row r="53" spans="1:5" x14ac:dyDescent="0.45">
      <c r="A53" s="10" t="s">
        <v>250</v>
      </c>
      <c r="B53" s="10" t="s">
        <v>120</v>
      </c>
      <c r="C53" s="10" t="s">
        <v>121</v>
      </c>
      <c r="D53" s="10" t="s">
        <v>119</v>
      </c>
      <c r="E53" s="10" t="s">
        <v>228</v>
      </c>
    </row>
    <row r="54" spans="1:5" x14ac:dyDescent="0.45">
      <c r="A54" s="10" t="s">
        <v>251</v>
      </c>
      <c r="B54" s="10" t="s">
        <v>142</v>
      </c>
      <c r="C54" s="10" t="s">
        <v>143</v>
      </c>
      <c r="D54" s="10" t="s">
        <v>252</v>
      </c>
      <c r="E54" s="10" t="s">
        <v>253</v>
      </c>
    </row>
    <row r="55" spans="1:5" x14ac:dyDescent="0.45">
      <c r="A55" s="10" t="s">
        <v>254</v>
      </c>
      <c r="B55" s="10" t="s">
        <v>142</v>
      </c>
      <c r="C55" s="10" t="s">
        <v>143</v>
      </c>
      <c r="D55" s="10" t="s">
        <v>252</v>
      </c>
      <c r="E55" s="10" t="s">
        <v>253</v>
      </c>
    </row>
    <row r="56" spans="1:5" x14ac:dyDescent="0.45">
      <c r="A56" s="10" t="s">
        <v>255</v>
      </c>
      <c r="B56" s="10" t="s">
        <v>142</v>
      </c>
      <c r="C56" s="10" t="s">
        <v>143</v>
      </c>
      <c r="D56" s="10" t="s">
        <v>141</v>
      </c>
      <c r="E56" s="10" t="s">
        <v>253</v>
      </c>
    </row>
    <row r="57" spans="1:5" x14ac:dyDescent="0.45">
      <c r="A57" s="10" t="s">
        <v>256</v>
      </c>
      <c r="B57" s="10" t="s">
        <v>257</v>
      </c>
      <c r="C57" s="10" t="s">
        <v>258</v>
      </c>
      <c r="D57" s="10" t="s">
        <v>259</v>
      </c>
      <c r="E57" s="10" t="s">
        <v>260</v>
      </c>
    </row>
    <row r="58" spans="1:5" x14ac:dyDescent="0.45">
      <c r="A58" s="10" t="s">
        <v>261</v>
      </c>
      <c r="B58" s="10" t="s">
        <v>257</v>
      </c>
      <c r="C58" s="10" t="s">
        <v>258</v>
      </c>
      <c r="D58" s="10" t="s">
        <v>259</v>
      </c>
      <c r="E58" s="10" t="s">
        <v>260</v>
      </c>
    </row>
    <row r="59" spans="1:5" x14ac:dyDescent="0.45">
      <c r="A59" s="10" t="s">
        <v>262</v>
      </c>
      <c r="B59" s="10" t="s">
        <v>263</v>
      </c>
      <c r="C59" s="10" t="s">
        <v>264</v>
      </c>
      <c r="D59" s="10" t="s">
        <v>265</v>
      </c>
      <c r="E59" s="10" t="s">
        <v>175</v>
      </c>
    </row>
    <row r="60" spans="1:5" x14ac:dyDescent="0.45">
      <c r="A60" s="10" t="s">
        <v>266</v>
      </c>
      <c r="B60" s="10" t="s">
        <v>263</v>
      </c>
      <c r="C60" s="10" t="s">
        <v>264</v>
      </c>
      <c r="D60" s="10" t="s">
        <v>267</v>
      </c>
      <c r="E60" s="10" t="s">
        <v>175</v>
      </c>
    </row>
    <row r="61" spans="1:5" x14ac:dyDescent="0.45">
      <c r="A61" s="10" t="s">
        <v>268</v>
      </c>
      <c r="B61" s="10" t="s">
        <v>132</v>
      </c>
      <c r="C61" s="10" t="s">
        <v>133</v>
      </c>
      <c r="D61" s="10" t="s">
        <v>131</v>
      </c>
      <c r="E61" s="10" t="s">
        <v>175</v>
      </c>
    </row>
    <row r="62" spans="1:5" x14ac:dyDescent="0.45">
      <c r="A62" s="10" t="s">
        <v>269</v>
      </c>
      <c r="B62" s="10" t="s">
        <v>132</v>
      </c>
      <c r="C62" s="10" t="s">
        <v>133</v>
      </c>
      <c r="D62" s="10" t="s">
        <v>270</v>
      </c>
      <c r="E62" s="10" t="s">
        <v>175</v>
      </c>
    </row>
    <row r="63" spans="1:5" x14ac:dyDescent="0.45">
      <c r="A63" s="10" t="s">
        <v>271</v>
      </c>
      <c r="B63" s="10" t="s">
        <v>132</v>
      </c>
      <c r="C63" s="10" t="s">
        <v>133</v>
      </c>
      <c r="D63" s="10" t="s">
        <v>272</v>
      </c>
      <c r="E63" s="10" t="s">
        <v>175</v>
      </c>
    </row>
    <row r="64" spans="1:5" x14ac:dyDescent="0.45">
      <c r="A64" s="10" t="s">
        <v>273</v>
      </c>
      <c r="B64" s="10" t="s">
        <v>132</v>
      </c>
      <c r="C64" s="10" t="s">
        <v>133</v>
      </c>
      <c r="D64" s="10" t="s">
        <v>272</v>
      </c>
      <c r="E64" s="10" t="s">
        <v>175</v>
      </c>
    </row>
    <row r="65" spans="1:5" x14ac:dyDescent="0.45">
      <c r="A65" s="10" t="s">
        <v>274</v>
      </c>
      <c r="B65" s="10" t="s">
        <v>132</v>
      </c>
      <c r="C65" s="10" t="s">
        <v>133</v>
      </c>
      <c r="D65" s="10" t="s">
        <v>272</v>
      </c>
      <c r="E65" s="10" t="s">
        <v>175</v>
      </c>
    </row>
    <row r="66" spans="1:5" x14ac:dyDescent="0.45">
      <c r="A66" s="10" t="s">
        <v>275</v>
      </c>
      <c r="B66" s="10" t="s">
        <v>276</v>
      </c>
      <c r="C66" s="10" t="s">
        <v>277</v>
      </c>
      <c r="D66" s="10" t="s">
        <v>278</v>
      </c>
      <c r="E66" s="10" t="s">
        <v>175</v>
      </c>
    </row>
    <row r="67" spans="1:5" x14ac:dyDescent="0.45">
      <c r="A67" s="10" t="s">
        <v>279</v>
      </c>
      <c r="B67" s="10" t="s">
        <v>276</v>
      </c>
      <c r="C67" s="10" t="s">
        <v>277</v>
      </c>
      <c r="D67" s="10" t="s">
        <v>278</v>
      </c>
      <c r="E67" s="10" t="s">
        <v>175</v>
      </c>
    </row>
    <row r="68" spans="1:5" x14ac:dyDescent="0.45">
      <c r="A68" s="10" t="s">
        <v>280</v>
      </c>
      <c r="B68" s="10" t="s">
        <v>276</v>
      </c>
      <c r="C68" s="10" t="s">
        <v>277</v>
      </c>
      <c r="D68" s="10" t="s">
        <v>281</v>
      </c>
      <c r="E68" s="10" t="s">
        <v>175</v>
      </c>
    </row>
    <row r="69" spans="1:5" x14ac:dyDescent="0.45">
      <c r="A69" s="10" t="s">
        <v>282</v>
      </c>
      <c r="B69" s="10" t="s">
        <v>276</v>
      </c>
      <c r="C69" s="10" t="s">
        <v>277</v>
      </c>
      <c r="D69" s="10" t="s">
        <v>281</v>
      </c>
      <c r="E69" s="10" t="s">
        <v>175</v>
      </c>
    </row>
    <row r="70" spans="1:5" x14ac:dyDescent="0.45">
      <c r="A70" s="10" t="s">
        <v>283</v>
      </c>
      <c r="B70" s="10" t="s">
        <v>284</v>
      </c>
      <c r="C70" s="10" t="s">
        <v>285</v>
      </c>
      <c r="D70" s="10" t="s">
        <v>286</v>
      </c>
      <c r="E70" s="10" t="s">
        <v>175</v>
      </c>
    </row>
    <row r="71" spans="1:5" x14ac:dyDescent="0.45">
      <c r="A71" s="10" t="s">
        <v>287</v>
      </c>
      <c r="B71" s="10" t="s">
        <v>284</v>
      </c>
      <c r="C71" s="10" t="s">
        <v>285</v>
      </c>
      <c r="D71" s="10" t="s">
        <v>288</v>
      </c>
      <c r="E71" s="10" t="s">
        <v>175</v>
      </c>
    </row>
    <row r="72" spans="1:5" x14ac:dyDescent="0.45">
      <c r="A72" s="10" t="s">
        <v>289</v>
      </c>
      <c r="B72" s="10" t="s">
        <v>284</v>
      </c>
      <c r="C72" s="10" t="s">
        <v>285</v>
      </c>
      <c r="D72" s="10" t="s">
        <v>288</v>
      </c>
      <c r="E72" s="10" t="s">
        <v>175</v>
      </c>
    </row>
    <row r="73" spans="1:5" x14ac:dyDescent="0.45">
      <c r="A73" s="10" t="s">
        <v>290</v>
      </c>
      <c r="B73" s="10" t="s">
        <v>96</v>
      </c>
      <c r="C73" s="10" t="s">
        <v>97</v>
      </c>
      <c r="D73" s="10" t="s">
        <v>95</v>
      </c>
      <c r="E73" s="10" t="s">
        <v>260</v>
      </c>
    </row>
    <row r="74" spans="1:5" x14ac:dyDescent="0.45">
      <c r="A74" s="10" t="s">
        <v>291</v>
      </c>
      <c r="B74" s="10" t="s">
        <v>96</v>
      </c>
      <c r="C74" s="10" t="s">
        <v>97</v>
      </c>
      <c r="D74" s="10" t="s">
        <v>95</v>
      </c>
      <c r="E74" s="10" t="s">
        <v>260</v>
      </c>
    </row>
    <row r="75" spans="1:5" x14ac:dyDescent="0.45">
      <c r="A75" s="10" t="s">
        <v>292</v>
      </c>
      <c r="B75" s="10" t="s">
        <v>293</v>
      </c>
      <c r="C75" s="10" t="s">
        <v>294</v>
      </c>
      <c r="D75" s="10" t="s">
        <v>295</v>
      </c>
      <c r="E75" s="10" t="s">
        <v>260</v>
      </c>
    </row>
    <row r="76" spans="1:5" x14ac:dyDescent="0.45">
      <c r="A76" s="10" t="s">
        <v>296</v>
      </c>
      <c r="B76" s="10" t="s">
        <v>297</v>
      </c>
      <c r="C76" s="10" t="s">
        <v>298</v>
      </c>
      <c r="D76" s="10" t="s">
        <v>299</v>
      </c>
      <c r="E76" s="10" t="s">
        <v>260</v>
      </c>
    </row>
    <row r="77" spans="1:5" x14ac:dyDescent="0.45">
      <c r="A77" s="10" t="s">
        <v>300</v>
      </c>
      <c r="B77" s="10" t="s">
        <v>297</v>
      </c>
      <c r="C77" s="10" t="s">
        <v>298</v>
      </c>
      <c r="D77" s="10" t="s">
        <v>301</v>
      </c>
      <c r="E77" s="10" t="s">
        <v>260</v>
      </c>
    </row>
    <row r="78" spans="1:5" x14ac:dyDescent="0.45">
      <c r="A78" s="10" t="s">
        <v>302</v>
      </c>
      <c r="B78" s="10" t="s">
        <v>293</v>
      </c>
      <c r="C78" s="10" t="s">
        <v>294</v>
      </c>
      <c r="D78" s="10" t="s">
        <v>295</v>
      </c>
      <c r="E78" s="10" t="s">
        <v>260</v>
      </c>
    </row>
    <row r="79" spans="1:5" x14ac:dyDescent="0.45">
      <c r="A79" s="10" t="s">
        <v>303</v>
      </c>
      <c r="B79" s="10" t="s">
        <v>293</v>
      </c>
      <c r="C79" s="10" t="s">
        <v>294</v>
      </c>
      <c r="D79" s="10" t="s">
        <v>304</v>
      </c>
      <c r="E79" s="10" t="s">
        <v>260</v>
      </c>
    </row>
    <row r="80" spans="1:5" x14ac:dyDescent="0.45">
      <c r="A80" s="10" t="s">
        <v>305</v>
      </c>
      <c r="B80" s="10" t="s">
        <v>306</v>
      </c>
      <c r="C80" s="10" t="s">
        <v>307</v>
      </c>
      <c r="D80" s="10" t="s">
        <v>308</v>
      </c>
      <c r="E80" s="10" t="s">
        <v>253</v>
      </c>
    </row>
    <row r="81" spans="1:5" x14ac:dyDescent="0.45">
      <c r="A81" s="10" t="s">
        <v>309</v>
      </c>
      <c r="B81" s="10" t="s">
        <v>306</v>
      </c>
      <c r="C81" s="10" t="s">
        <v>307</v>
      </c>
      <c r="D81" s="10" t="s">
        <v>308</v>
      </c>
      <c r="E81" s="10" t="s">
        <v>253</v>
      </c>
    </row>
    <row r="82" spans="1:5" x14ac:dyDescent="0.45">
      <c r="A82" s="10" t="s">
        <v>310</v>
      </c>
      <c r="B82" s="10" t="s">
        <v>245</v>
      </c>
      <c r="C82" s="10" t="s">
        <v>246</v>
      </c>
      <c r="D82" s="10" t="s">
        <v>311</v>
      </c>
      <c r="E82" s="10" t="s">
        <v>228</v>
      </c>
    </row>
    <row r="83" spans="1:5" x14ac:dyDescent="0.45">
      <c r="A83" s="10" t="s">
        <v>312</v>
      </c>
      <c r="B83" s="10" t="s">
        <v>142</v>
      </c>
      <c r="C83" s="10" t="s">
        <v>143</v>
      </c>
      <c r="D83" s="10" t="s">
        <v>141</v>
      </c>
      <c r="E83" s="10" t="s">
        <v>253</v>
      </c>
    </row>
    <row r="84" spans="1:5" x14ac:dyDescent="0.45">
      <c r="A84" s="10" t="s">
        <v>313</v>
      </c>
      <c r="B84" s="10" t="s">
        <v>132</v>
      </c>
      <c r="C84" s="10" t="s">
        <v>133</v>
      </c>
      <c r="D84" s="10" t="s">
        <v>314</v>
      </c>
      <c r="E84" s="10" t="s">
        <v>175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22" customWidth="1"/>
    <col min="2" max="2" width="20" customWidth="1"/>
    <col min="3" max="3" width="14" customWidth="1"/>
    <col min="4" max="4" width="24" customWidth="1"/>
    <col min="5" max="5" width="28" customWidth="1"/>
    <col min="6" max="6" width="14" customWidth="1"/>
  </cols>
  <sheetData>
    <row r="1" spans="1:6" x14ac:dyDescent="0.45">
      <c r="A1" s="11" t="s">
        <v>315</v>
      </c>
      <c r="B1" s="11" t="s">
        <v>316</v>
      </c>
      <c r="C1" s="11" t="s">
        <v>317</v>
      </c>
      <c r="D1" s="11" t="s">
        <v>318</v>
      </c>
      <c r="E1" s="11" t="s">
        <v>319</v>
      </c>
      <c r="F1" s="11" t="s">
        <v>320</v>
      </c>
    </row>
    <row r="2" spans="1:6" x14ac:dyDescent="0.45">
      <c r="A2" s="10" t="s">
        <v>321</v>
      </c>
      <c r="B2" s="10" t="s">
        <v>322</v>
      </c>
      <c r="C2" s="10" t="s">
        <v>323</v>
      </c>
      <c r="D2" s="10" t="s">
        <v>321</v>
      </c>
      <c r="E2" s="10" t="s">
        <v>324</v>
      </c>
      <c r="F2" s="10" t="s">
        <v>321</v>
      </c>
    </row>
    <row r="3" spans="1:6" x14ac:dyDescent="0.45">
      <c r="A3" s="10" t="s">
        <v>325</v>
      </c>
      <c r="B3" s="10" t="s">
        <v>326</v>
      </c>
      <c r="C3" s="10" t="s">
        <v>327</v>
      </c>
      <c r="D3" s="10" t="s">
        <v>325</v>
      </c>
      <c r="E3" s="10" t="s">
        <v>328</v>
      </c>
      <c r="F3" s="10" t="s">
        <v>329</v>
      </c>
    </row>
    <row r="4" spans="1:6" x14ac:dyDescent="0.45">
      <c r="A4" s="10" t="s">
        <v>330</v>
      </c>
      <c r="B4" s="10" t="s">
        <v>331</v>
      </c>
      <c r="C4" s="10" t="s">
        <v>327</v>
      </c>
      <c r="D4" s="10" t="s">
        <v>330</v>
      </c>
      <c r="E4" s="10" t="s">
        <v>332</v>
      </c>
      <c r="F4" s="10" t="s">
        <v>329</v>
      </c>
    </row>
    <row r="5" spans="1:6" x14ac:dyDescent="0.45">
      <c r="A5" s="10" t="s">
        <v>333</v>
      </c>
      <c r="B5" s="10" t="s">
        <v>334</v>
      </c>
      <c r="C5" s="10" t="s">
        <v>327</v>
      </c>
      <c r="D5" s="10" t="s">
        <v>333</v>
      </c>
      <c r="E5" s="10" t="s">
        <v>335</v>
      </c>
      <c r="F5" s="10" t="s">
        <v>329</v>
      </c>
    </row>
    <row r="6" spans="1:6" x14ac:dyDescent="0.45">
      <c r="A6" s="10" t="s">
        <v>336</v>
      </c>
      <c r="B6" s="10" t="s">
        <v>337</v>
      </c>
      <c r="C6" s="10" t="s">
        <v>327</v>
      </c>
      <c r="D6" s="10" t="s">
        <v>336</v>
      </c>
      <c r="E6" s="10" t="s">
        <v>338</v>
      </c>
      <c r="F6" s="10" t="s">
        <v>329</v>
      </c>
    </row>
    <row r="7" spans="1:6" x14ac:dyDescent="0.45">
      <c r="A7" s="10" t="s">
        <v>339</v>
      </c>
      <c r="B7" s="10" t="s">
        <v>340</v>
      </c>
      <c r="C7" s="10" t="s">
        <v>327</v>
      </c>
      <c r="D7" s="10" t="s">
        <v>339</v>
      </c>
      <c r="E7" s="10" t="s">
        <v>341</v>
      </c>
      <c r="F7" s="10" t="s">
        <v>329</v>
      </c>
    </row>
    <row r="8" spans="1:6" x14ac:dyDescent="0.45">
      <c r="A8" s="10" t="s">
        <v>342</v>
      </c>
      <c r="B8" s="10" t="s">
        <v>343</v>
      </c>
      <c r="C8" s="10" t="s">
        <v>327</v>
      </c>
      <c r="D8" s="10" t="s">
        <v>342</v>
      </c>
      <c r="E8" s="10" t="s">
        <v>344</v>
      </c>
      <c r="F8" s="10" t="s">
        <v>329</v>
      </c>
    </row>
    <row r="9" spans="1:6" x14ac:dyDescent="0.45">
      <c r="A9" s="10" t="s">
        <v>345</v>
      </c>
      <c r="B9" s="10" t="s">
        <v>346</v>
      </c>
      <c r="C9" s="10" t="s">
        <v>327</v>
      </c>
      <c r="D9" s="10" t="s">
        <v>345</v>
      </c>
      <c r="E9" s="10" t="s">
        <v>347</v>
      </c>
      <c r="F9" s="10" t="s">
        <v>348</v>
      </c>
    </row>
    <row r="10" spans="1:6" x14ac:dyDescent="0.45">
      <c r="A10" s="10" t="s">
        <v>349</v>
      </c>
      <c r="B10" s="10" t="s">
        <v>350</v>
      </c>
      <c r="C10" s="10" t="s">
        <v>327</v>
      </c>
      <c r="D10" s="10" t="s">
        <v>349</v>
      </c>
      <c r="E10" s="10" t="s">
        <v>351</v>
      </c>
      <c r="F10" s="10" t="s">
        <v>348</v>
      </c>
    </row>
    <row r="11" spans="1:6" x14ac:dyDescent="0.45">
      <c r="A11" s="10" t="s">
        <v>352</v>
      </c>
      <c r="B11" s="10" t="s">
        <v>353</v>
      </c>
      <c r="C11" s="10" t="s">
        <v>327</v>
      </c>
      <c r="D11" s="10" t="s">
        <v>352</v>
      </c>
      <c r="E11" s="10" t="s">
        <v>354</v>
      </c>
      <c r="F11" s="10" t="s">
        <v>348</v>
      </c>
    </row>
    <row r="12" spans="1:6" x14ac:dyDescent="0.45">
      <c r="A12" s="10" t="s">
        <v>355</v>
      </c>
      <c r="B12" s="10" t="s">
        <v>356</v>
      </c>
      <c r="C12" s="10" t="s">
        <v>327</v>
      </c>
      <c r="D12" s="10" t="s">
        <v>355</v>
      </c>
      <c r="E12" s="10" t="s">
        <v>357</v>
      </c>
      <c r="F12" s="10" t="s">
        <v>348</v>
      </c>
    </row>
    <row r="13" spans="1:6" x14ac:dyDescent="0.45">
      <c r="A13" s="10" t="s">
        <v>358</v>
      </c>
      <c r="B13" s="10" t="s">
        <v>359</v>
      </c>
      <c r="C13" s="10" t="s">
        <v>327</v>
      </c>
      <c r="D13" s="10" t="s">
        <v>358</v>
      </c>
      <c r="E13" s="10" t="s">
        <v>360</v>
      </c>
      <c r="F13" s="10" t="s">
        <v>348</v>
      </c>
    </row>
    <row r="14" spans="1:6" x14ac:dyDescent="0.45">
      <c r="A14" s="10" t="s">
        <v>361</v>
      </c>
      <c r="B14" s="10" t="s">
        <v>362</v>
      </c>
      <c r="C14" s="10" t="s">
        <v>363</v>
      </c>
      <c r="D14" s="10" t="s">
        <v>361</v>
      </c>
      <c r="E14" s="10" t="s">
        <v>364</v>
      </c>
      <c r="F14" s="10" t="s">
        <v>348</v>
      </c>
    </row>
    <row r="15" spans="1:6" x14ac:dyDescent="0.45">
      <c r="A15" s="10" t="s">
        <v>365</v>
      </c>
      <c r="B15" s="10" t="s">
        <v>366</v>
      </c>
      <c r="C15" s="10" t="s">
        <v>327</v>
      </c>
      <c r="D15" s="10" t="s">
        <v>365</v>
      </c>
      <c r="E15" s="10" t="s">
        <v>367</v>
      </c>
      <c r="F15" s="10" t="s">
        <v>348</v>
      </c>
    </row>
    <row r="16" spans="1:6" x14ac:dyDescent="0.45">
      <c r="A16" s="10" t="s">
        <v>368</v>
      </c>
      <c r="B16" s="10" t="s">
        <v>369</v>
      </c>
      <c r="C16" s="10" t="s">
        <v>327</v>
      </c>
      <c r="D16" s="10" t="s">
        <v>368</v>
      </c>
      <c r="E16" s="10" t="s">
        <v>370</v>
      </c>
      <c r="F16" s="10" t="s">
        <v>371</v>
      </c>
    </row>
    <row r="17" spans="1:6" x14ac:dyDescent="0.45">
      <c r="A17" s="10" t="s">
        <v>372</v>
      </c>
      <c r="B17" s="10" t="s">
        <v>373</v>
      </c>
      <c r="C17" s="10" t="s">
        <v>327</v>
      </c>
      <c r="D17" s="10" t="s">
        <v>372</v>
      </c>
      <c r="E17" s="10" t="s">
        <v>374</v>
      </c>
      <c r="F17" s="10" t="s">
        <v>371</v>
      </c>
    </row>
    <row r="18" spans="1:6" x14ac:dyDescent="0.45">
      <c r="A18" s="10" t="s">
        <v>375</v>
      </c>
      <c r="B18" s="10" t="s">
        <v>376</v>
      </c>
      <c r="C18" s="10" t="s">
        <v>327</v>
      </c>
      <c r="D18" s="10" t="s">
        <v>375</v>
      </c>
      <c r="E18" s="10" t="s">
        <v>377</v>
      </c>
      <c r="F18" s="10" t="s">
        <v>371</v>
      </c>
    </row>
    <row r="19" spans="1:6" x14ac:dyDescent="0.45">
      <c r="A19" s="10" t="s">
        <v>378</v>
      </c>
      <c r="B19" s="10" t="s">
        <v>379</v>
      </c>
      <c r="C19" s="10" t="s">
        <v>327</v>
      </c>
      <c r="D19" s="10" t="s">
        <v>378</v>
      </c>
      <c r="E19" s="10" t="s">
        <v>380</v>
      </c>
      <c r="F19" s="10" t="s">
        <v>371</v>
      </c>
    </row>
    <row r="20" spans="1:6" x14ac:dyDescent="0.45">
      <c r="A20" s="10" t="s">
        <v>381</v>
      </c>
      <c r="B20" s="10" t="s">
        <v>382</v>
      </c>
      <c r="C20" s="10" t="s">
        <v>327</v>
      </c>
      <c r="D20" s="10" t="s">
        <v>381</v>
      </c>
      <c r="E20" s="10" t="s">
        <v>383</v>
      </c>
      <c r="F20" s="10" t="s">
        <v>371</v>
      </c>
    </row>
    <row r="21" spans="1:6" x14ac:dyDescent="0.45">
      <c r="A21" s="10" t="s">
        <v>384</v>
      </c>
      <c r="B21" s="10" t="s">
        <v>385</v>
      </c>
      <c r="C21" s="10" t="s">
        <v>327</v>
      </c>
      <c r="D21" s="10" t="s">
        <v>384</v>
      </c>
      <c r="E21" s="10" t="s">
        <v>386</v>
      </c>
      <c r="F21" s="10" t="s">
        <v>371</v>
      </c>
    </row>
    <row r="22" spans="1:6" x14ac:dyDescent="0.45">
      <c r="A22" s="10" t="s">
        <v>387</v>
      </c>
      <c r="B22" s="10" t="s">
        <v>388</v>
      </c>
      <c r="C22" s="10" t="s">
        <v>327</v>
      </c>
      <c r="D22" s="10" t="s">
        <v>387</v>
      </c>
      <c r="E22" s="10" t="s">
        <v>389</v>
      </c>
      <c r="F22" s="10" t="s">
        <v>371</v>
      </c>
    </row>
    <row r="23" spans="1:6" x14ac:dyDescent="0.45">
      <c r="A23" s="10" t="s">
        <v>390</v>
      </c>
      <c r="B23" s="10" t="s">
        <v>391</v>
      </c>
      <c r="C23" s="10" t="s">
        <v>327</v>
      </c>
      <c r="D23" s="10" t="s">
        <v>390</v>
      </c>
      <c r="E23" s="10" t="s">
        <v>392</v>
      </c>
      <c r="F23" s="10" t="s">
        <v>371</v>
      </c>
    </row>
    <row r="24" spans="1:6" x14ac:dyDescent="0.45">
      <c r="A24" s="10" t="s">
        <v>393</v>
      </c>
      <c r="B24" s="10" t="s">
        <v>394</v>
      </c>
      <c r="C24" s="10" t="s">
        <v>327</v>
      </c>
      <c r="D24" s="10" t="s">
        <v>393</v>
      </c>
      <c r="E24" s="10" t="s">
        <v>395</v>
      </c>
      <c r="F24" s="10" t="s">
        <v>371</v>
      </c>
    </row>
    <row r="25" spans="1:6" x14ac:dyDescent="0.45">
      <c r="A25" s="10" t="s">
        <v>396</v>
      </c>
      <c r="B25" s="10" t="s">
        <v>397</v>
      </c>
      <c r="C25" s="10" t="s">
        <v>327</v>
      </c>
      <c r="D25" s="10" t="s">
        <v>396</v>
      </c>
      <c r="E25" s="10" t="s">
        <v>398</v>
      </c>
      <c r="F25" s="10" t="s">
        <v>399</v>
      </c>
    </row>
    <row r="26" spans="1:6" x14ac:dyDescent="0.45">
      <c r="A26" s="10" t="s">
        <v>400</v>
      </c>
      <c r="B26" s="10" t="s">
        <v>401</v>
      </c>
      <c r="C26" s="10" t="s">
        <v>327</v>
      </c>
      <c r="D26" s="10" t="s">
        <v>400</v>
      </c>
      <c r="E26" s="10" t="s">
        <v>402</v>
      </c>
      <c r="F26" s="10" t="s">
        <v>399</v>
      </c>
    </row>
    <row r="27" spans="1:6" x14ac:dyDescent="0.45">
      <c r="A27" s="10" t="s">
        <v>403</v>
      </c>
      <c r="B27" s="10" t="s">
        <v>404</v>
      </c>
      <c r="C27" s="10" t="s">
        <v>405</v>
      </c>
      <c r="D27" s="10" t="s">
        <v>403</v>
      </c>
      <c r="E27" s="10" t="s">
        <v>406</v>
      </c>
      <c r="F27" s="10" t="s">
        <v>399</v>
      </c>
    </row>
    <row r="28" spans="1:6" x14ac:dyDescent="0.45">
      <c r="A28" s="10" t="s">
        <v>407</v>
      </c>
      <c r="B28" s="10" t="s">
        <v>408</v>
      </c>
      <c r="C28" s="10" t="s">
        <v>405</v>
      </c>
      <c r="D28" s="10" t="s">
        <v>407</v>
      </c>
      <c r="E28" s="10" t="s">
        <v>409</v>
      </c>
      <c r="F28" s="10" t="s">
        <v>399</v>
      </c>
    </row>
    <row r="29" spans="1:6" x14ac:dyDescent="0.45">
      <c r="A29" s="10" t="s">
        <v>410</v>
      </c>
      <c r="B29" s="10" t="s">
        <v>411</v>
      </c>
      <c r="C29" s="10" t="s">
        <v>327</v>
      </c>
      <c r="D29" s="10" t="s">
        <v>410</v>
      </c>
      <c r="E29" s="10" t="s">
        <v>412</v>
      </c>
      <c r="F29" s="10" t="s">
        <v>399</v>
      </c>
    </row>
    <row r="30" spans="1:6" x14ac:dyDescent="0.45">
      <c r="A30" s="10" t="s">
        <v>413</v>
      </c>
      <c r="B30" s="10" t="s">
        <v>414</v>
      </c>
      <c r="C30" s="10" t="s">
        <v>327</v>
      </c>
      <c r="D30" s="10" t="s">
        <v>413</v>
      </c>
      <c r="E30" s="10" t="s">
        <v>415</v>
      </c>
      <c r="F30" s="10" t="s">
        <v>399</v>
      </c>
    </row>
    <row r="31" spans="1:6" x14ac:dyDescent="0.45">
      <c r="A31" s="10" t="s">
        <v>416</v>
      </c>
      <c r="B31" s="10" t="s">
        <v>417</v>
      </c>
      <c r="C31" s="10" t="s">
        <v>327</v>
      </c>
      <c r="D31" s="10" t="s">
        <v>416</v>
      </c>
      <c r="E31" s="10" t="s">
        <v>418</v>
      </c>
      <c r="F31" s="10" t="s">
        <v>399</v>
      </c>
    </row>
    <row r="32" spans="1:6" x14ac:dyDescent="0.45">
      <c r="A32" s="10" t="s">
        <v>419</v>
      </c>
      <c r="B32" s="10" t="s">
        <v>420</v>
      </c>
      <c r="C32" s="10" t="s">
        <v>327</v>
      </c>
      <c r="D32" s="10" t="s">
        <v>419</v>
      </c>
      <c r="E32" s="10" t="s">
        <v>421</v>
      </c>
      <c r="F32" s="10" t="s">
        <v>422</v>
      </c>
    </row>
    <row r="33" spans="1:6" x14ac:dyDescent="0.45">
      <c r="A33" s="10" t="s">
        <v>423</v>
      </c>
      <c r="B33" s="10" t="s">
        <v>424</v>
      </c>
      <c r="C33" s="10" t="s">
        <v>327</v>
      </c>
      <c r="D33" s="10" t="s">
        <v>423</v>
      </c>
      <c r="E33" s="10" t="s">
        <v>425</v>
      </c>
      <c r="F33" s="10" t="s">
        <v>422</v>
      </c>
    </row>
    <row r="34" spans="1:6" x14ac:dyDescent="0.45">
      <c r="A34" s="10" t="s">
        <v>426</v>
      </c>
      <c r="B34" s="10" t="s">
        <v>427</v>
      </c>
      <c r="C34" s="10" t="s">
        <v>327</v>
      </c>
      <c r="D34" s="10" t="s">
        <v>426</v>
      </c>
      <c r="E34" s="10" t="s">
        <v>428</v>
      </c>
      <c r="F34" s="10" t="s">
        <v>422</v>
      </c>
    </row>
    <row r="35" spans="1:6" x14ac:dyDescent="0.45">
      <c r="A35" s="10" t="s">
        <v>429</v>
      </c>
      <c r="B35" s="10" t="s">
        <v>430</v>
      </c>
      <c r="C35" s="10" t="s">
        <v>327</v>
      </c>
      <c r="D35" s="10" t="s">
        <v>429</v>
      </c>
      <c r="E35" s="10" t="s">
        <v>431</v>
      </c>
      <c r="F35" s="10" t="s">
        <v>422</v>
      </c>
    </row>
    <row r="36" spans="1:6" x14ac:dyDescent="0.45">
      <c r="A36" s="10" t="s">
        <v>432</v>
      </c>
      <c r="B36" s="10" t="s">
        <v>433</v>
      </c>
      <c r="C36" s="10" t="s">
        <v>327</v>
      </c>
      <c r="D36" s="10" t="s">
        <v>432</v>
      </c>
      <c r="E36" s="10" t="s">
        <v>434</v>
      </c>
      <c r="F36" s="10" t="s">
        <v>422</v>
      </c>
    </row>
    <row r="37" spans="1:6" x14ac:dyDescent="0.45">
      <c r="A37" s="10" t="s">
        <v>435</v>
      </c>
      <c r="B37" s="10" t="s">
        <v>436</v>
      </c>
      <c r="C37" s="10" t="s">
        <v>327</v>
      </c>
      <c r="D37" s="10" t="s">
        <v>435</v>
      </c>
      <c r="E37" s="10" t="s">
        <v>437</v>
      </c>
      <c r="F37" s="10" t="s">
        <v>438</v>
      </c>
    </row>
    <row r="38" spans="1:6" x14ac:dyDescent="0.45">
      <c r="A38" s="10" t="s">
        <v>439</v>
      </c>
      <c r="B38" s="10" t="s">
        <v>440</v>
      </c>
      <c r="C38" s="10" t="s">
        <v>327</v>
      </c>
      <c r="D38" s="10" t="s">
        <v>439</v>
      </c>
      <c r="E38" s="10" t="s">
        <v>441</v>
      </c>
      <c r="F38" s="10" t="s">
        <v>438</v>
      </c>
    </row>
    <row r="39" spans="1:6" x14ac:dyDescent="0.45">
      <c r="A39" s="10" t="s">
        <v>442</v>
      </c>
      <c r="B39" s="10" t="s">
        <v>443</v>
      </c>
      <c r="C39" s="10" t="s">
        <v>327</v>
      </c>
      <c r="D39" s="10" t="s">
        <v>442</v>
      </c>
      <c r="E39" s="10" t="s">
        <v>444</v>
      </c>
      <c r="F39" s="10" t="s">
        <v>438</v>
      </c>
    </row>
    <row r="40" spans="1:6" x14ac:dyDescent="0.45">
      <c r="A40" s="10" t="s">
        <v>445</v>
      </c>
      <c r="B40" s="10" t="s">
        <v>446</v>
      </c>
      <c r="C40" s="10" t="s">
        <v>327</v>
      </c>
      <c r="D40" s="10" t="s">
        <v>445</v>
      </c>
      <c r="E40" s="10" t="s">
        <v>447</v>
      </c>
      <c r="F40" s="10" t="s">
        <v>438</v>
      </c>
    </row>
    <row r="41" spans="1:6" x14ac:dyDescent="0.45">
      <c r="A41" s="10" t="s">
        <v>448</v>
      </c>
      <c r="B41" s="10" t="s">
        <v>449</v>
      </c>
      <c r="C41" s="10" t="s">
        <v>327</v>
      </c>
      <c r="D41" s="10" t="s">
        <v>448</v>
      </c>
      <c r="E41" s="10" t="s">
        <v>450</v>
      </c>
      <c r="F41" s="10" t="s">
        <v>451</v>
      </c>
    </row>
    <row r="42" spans="1:6" x14ac:dyDescent="0.45">
      <c r="A42" s="10" t="s">
        <v>452</v>
      </c>
      <c r="B42" s="10" t="s">
        <v>453</v>
      </c>
      <c r="C42" s="10" t="s">
        <v>327</v>
      </c>
      <c r="D42" s="10" t="s">
        <v>452</v>
      </c>
      <c r="E42" s="10" t="s">
        <v>454</v>
      </c>
      <c r="F42" s="10" t="s">
        <v>451</v>
      </c>
    </row>
    <row r="43" spans="1:6" x14ac:dyDescent="0.45">
      <c r="A43" s="10" t="s">
        <v>455</v>
      </c>
      <c r="B43" s="10" t="s">
        <v>456</v>
      </c>
      <c r="C43" s="10" t="s">
        <v>327</v>
      </c>
      <c r="D43" s="10" t="s">
        <v>455</v>
      </c>
      <c r="E43" s="10" t="s">
        <v>457</v>
      </c>
      <c r="F43" s="10" t="s">
        <v>451</v>
      </c>
    </row>
    <row r="44" spans="1:6" x14ac:dyDescent="0.45">
      <c r="A44" s="10" t="s">
        <v>458</v>
      </c>
      <c r="B44" s="10" t="s">
        <v>459</v>
      </c>
      <c r="C44" s="10" t="s">
        <v>327</v>
      </c>
      <c r="D44" s="10" t="s">
        <v>458</v>
      </c>
      <c r="E44" s="10" t="s">
        <v>460</v>
      </c>
      <c r="F44" s="10" t="s">
        <v>451</v>
      </c>
    </row>
    <row r="45" spans="1:6" x14ac:dyDescent="0.45">
      <c r="A45" s="10" t="s">
        <v>461</v>
      </c>
      <c r="B45" s="10" t="s">
        <v>462</v>
      </c>
      <c r="C45" s="10" t="s">
        <v>327</v>
      </c>
      <c r="D45" s="10" t="s">
        <v>461</v>
      </c>
      <c r="E45" s="10" t="s">
        <v>463</v>
      </c>
      <c r="F45" s="10" t="s">
        <v>451</v>
      </c>
    </row>
    <row r="46" spans="1:6" x14ac:dyDescent="0.45">
      <c r="A46" s="10" t="s">
        <v>464</v>
      </c>
      <c r="B46" s="10" t="s">
        <v>465</v>
      </c>
      <c r="C46" s="10" t="s">
        <v>327</v>
      </c>
      <c r="D46" s="10" t="s">
        <v>464</v>
      </c>
      <c r="E46" s="10" t="s">
        <v>466</v>
      </c>
      <c r="F46" s="10" t="s">
        <v>451</v>
      </c>
    </row>
    <row r="47" spans="1:6" x14ac:dyDescent="0.45">
      <c r="A47" s="10" t="s">
        <v>467</v>
      </c>
      <c r="B47" s="10" t="s">
        <v>468</v>
      </c>
      <c r="C47" s="10" t="s">
        <v>327</v>
      </c>
      <c r="D47" s="10" t="s">
        <v>467</v>
      </c>
      <c r="E47" s="10" t="s">
        <v>469</v>
      </c>
      <c r="F47" s="10" t="s">
        <v>451</v>
      </c>
    </row>
    <row r="48" spans="1:6" x14ac:dyDescent="0.45">
      <c r="A48" s="10" t="s">
        <v>470</v>
      </c>
      <c r="B48" s="10" t="s">
        <v>471</v>
      </c>
      <c r="C48" s="10" t="s">
        <v>327</v>
      </c>
      <c r="D48" s="10" t="s">
        <v>470</v>
      </c>
      <c r="E48" s="10" t="s">
        <v>472</v>
      </c>
      <c r="F48" s="10" t="s">
        <v>470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"/>
  <sheetViews>
    <sheetView workbookViewId="0"/>
  </sheetViews>
  <sheetFormatPr defaultRowHeight="14.25" x14ac:dyDescent="0.45"/>
  <cols>
    <col min="1" max="8" width="28" customWidth="1"/>
  </cols>
  <sheetData>
    <row r="1" spans="1:8" x14ac:dyDescent="0.45">
      <c r="A1" s="12" t="s">
        <v>2</v>
      </c>
      <c r="B1" s="12" t="s">
        <v>10</v>
      </c>
      <c r="C1" s="12" t="s">
        <v>11</v>
      </c>
      <c r="D1" s="12" t="s">
        <v>14</v>
      </c>
      <c r="E1" s="12" t="s">
        <v>473</v>
      </c>
      <c r="F1" s="12" t="s">
        <v>18</v>
      </c>
      <c r="G1" s="12" t="s">
        <v>45</v>
      </c>
      <c r="H1" s="12" t="s">
        <v>48</v>
      </c>
    </row>
    <row r="2" spans="1:8" x14ac:dyDescent="0.45">
      <c r="A2" s="13" t="s">
        <v>51</v>
      </c>
      <c r="B2" s="13" t="s">
        <v>58</v>
      </c>
      <c r="C2" s="13" t="s">
        <v>75</v>
      </c>
      <c r="D2" s="13" t="s">
        <v>59</v>
      </c>
      <c r="E2" s="13" t="s">
        <v>63</v>
      </c>
      <c r="F2" s="13" t="s">
        <v>474</v>
      </c>
      <c r="G2" s="13" t="s">
        <v>63</v>
      </c>
      <c r="H2" s="13" t="s">
        <v>475</v>
      </c>
    </row>
    <row r="3" spans="1:8" x14ac:dyDescent="0.45">
      <c r="A3" s="13" t="s">
        <v>476</v>
      </c>
      <c r="B3" s="13" t="s">
        <v>57</v>
      </c>
      <c r="C3" s="13" t="s">
        <v>58</v>
      </c>
      <c r="D3" s="13" t="s">
        <v>123</v>
      </c>
      <c r="E3" s="13" t="s">
        <v>61</v>
      </c>
      <c r="F3" s="13" t="s">
        <v>477</v>
      </c>
      <c r="G3" s="13" t="s">
        <v>61</v>
      </c>
      <c r="H3" s="13" t="s">
        <v>478</v>
      </c>
    </row>
    <row r="4" spans="1:8" x14ac:dyDescent="0.45">
      <c r="A4" s="13" t="s">
        <v>479</v>
      </c>
      <c r="B4" s="13" t="s">
        <v>122</v>
      </c>
      <c r="C4" s="13" t="s">
        <v>111</v>
      </c>
      <c r="D4" s="13" t="s">
        <v>480</v>
      </c>
      <c r="E4" s="13" t="s">
        <v>481</v>
      </c>
      <c r="F4" s="13" t="s">
        <v>482</v>
      </c>
    </row>
    <row r="5" spans="1:8" x14ac:dyDescent="0.45">
      <c r="A5" s="13" t="s">
        <v>483</v>
      </c>
      <c r="B5" s="13" t="s">
        <v>484</v>
      </c>
      <c r="C5" s="13" t="s">
        <v>135</v>
      </c>
      <c r="D5" s="13" t="s">
        <v>485</v>
      </c>
      <c r="F5" s="13" t="s">
        <v>486</v>
      </c>
    </row>
    <row r="6" spans="1:8" x14ac:dyDescent="0.45">
      <c r="A6" s="13" t="s">
        <v>487</v>
      </c>
      <c r="B6" s="13" t="s">
        <v>110</v>
      </c>
      <c r="C6" s="13" t="s">
        <v>99</v>
      </c>
      <c r="D6" s="13" t="s">
        <v>488</v>
      </c>
    </row>
    <row r="7" spans="1:8" x14ac:dyDescent="0.45">
      <c r="A7" s="13" t="s">
        <v>489</v>
      </c>
      <c r="B7" s="13" t="s">
        <v>490</v>
      </c>
      <c r="C7" s="13" t="s">
        <v>491</v>
      </c>
    </row>
    <row r="8" spans="1:8" x14ac:dyDescent="0.45">
      <c r="A8" s="13" t="s">
        <v>492</v>
      </c>
      <c r="B8" s="13" t="s">
        <v>493</v>
      </c>
      <c r="C8" s="13" t="s">
        <v>494</v>
      </c>
    </row>
    <row r="9" spans="1:8" x14ac:dyDescent="0.45">
      <c r="A9" s="13" t="s">
        <v>486</v>
      </c>
      <c r="B9" s="13" t="s">
        <v>495</v>
      </c>
      <c r="C9" s="13" t="s">
        <v>496</v>
      </c>
    </row>
    <row r="10" spans="1:8" x14ac:dyDescent="0.45">
      <c r="B10" s="13" t="s">
        <v>497</v>
      </c>
      <c r="C10" s="13" t="s">
        <v>498</v>
      </c>
    </row>
    <row r="11" spans="1:8" x14ac:dyDescent="0.45">
      <c r="B11" s="13" t="s">
        <v>499</v>
      </c>
      <c r="C11" s="13" t="s">
        <v>500</v>
      </c>
    </row>
    <row r="12" spans="1:8" x14ac:dyDescent="0.45">
      <c r="B12" s="13" t="s">
        <v>501</v>
      </c>
      <c r="C12" s="13" t="s">
        <v>486</v>
      </c>
    </row>
    <row r="13" spans="1:8" x14ac:dyDescent="0.45">
      <c r="B13" s="13" t="s">
        <v>134</v>
      </c>
    </row>
    <row r="14" spans="1:8" x14ac:dyDescent="0.45">
      <c r="B14" s="13" t="s">
        <v>87</v>
      </c>
    </row>
    <row r="15" spans="1:8" x14ac:dyDescent="0.45">
      <c r="B15" s="13" t="s">
        <v>74</v>
      </c>
    </row>
    <row r="16" spans="1:8" x14ac:dyDescent="0.45">
      <c r="B16" s="13" t="s">
        <v>98</v>
      </c>
    </row>
    <row r="17" spans="2:2" x14ac:dyDescent="0.45">
      <c r="B17" s="13" t="s">
        <v>502</v>
      </c>
    </row>
    <row r="18" spans="2:2" x14ac:dyDescent="0.45">
      <c r="B18" s="13" t="s">
        <v>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5"/>
  <sheetViews>
    <sheetView showGridLines="0" workbookViewId="0"/>
  </sheetViews>
  <sheetFormatPr defaultRowHeight="14.25" x14ac:dyDescent="0.45"/>
  <cols>
    <col min="1" max="1" width="28" customWidth="1"/>
    <col min="2" max="2" width="92" customWidth="1"/>
  </cols>
  <sheetData>
    <row r="1" spans="1:2" ht="22.05" customHeight="1" x14ac:dyDescent="0.45">
      <c r="A1" s="16" t="s">
        <v>503</v>
      </c>
      <c r="B1" s="17"/>
    </row>
    <row r="2" spans="1:2" ht="44" customHeight="1" x14ac:dyDescent="0.45">
      <c r="A2" s="14" t="s">
        <v>504</v>
      </c>
      <c r="B2" s="15" t="s">
        <v>505</v>
      </c>
    </row>
    <row r="3" spans="1:2" ht="44" customHeight="1" x14ac:dyDescent="0.45">
      <c r="A3" s="14" t="s">
        <v>506</v>
      </c>
      <c r="B3" s="15" t="s">
        <v>507</v>
      </c>
    </row>
    <row r="4" spans="1:2" ht="44" customHeight="1" x14ac:dyDescent="0.45">
      <c r="A4" s="14" t="s">
        <v>508</v>
      </c>
      <c r="B4" s="15" t="s">
        <v>509</v>
      </c>
    </row>
    <row r="5" spans="1:2" ht="44" customHeight="1" x14ac:dyDescent="0.45">
      <c r="A5" s="14" t="s">
        <v>510</v>
      </c>
      <c r="B5" s="15" t="s">
        <v>511</v>
      </c>
    </row>
    <row r="7" spans="1:2" ht="22.05" customHeight="1" x14ac:dyDescent="0.45">
      <c r="A7" s="16" t="s">
        <v>512</v>
      </c>
      <c r="B7" s="17"/>
    </row>
    <row r="8" spans="1:2" ht="44" customHeight="1" x14ac:dyDescent="0.45">
      <c r="A8" s="14" t="s">
        <v>513</v>
      </c>
      <c r="B8" s="15" t="s">
        <v>514</v>
      </c>
    </row>
    <row r="9" spans="1:2" ht="44" customHeight="1" x14ac:dyDescent="0.45">
      <c r="A9" s="14" t="s">
        <v>515</v>
      </c>
      <c r="B9" s="15" t="s">
        <v>516</v>
      </c>
    </row>
    <row r="10" spans="1:2" ht="44" customHeight="1" x14ac:dyDescent="0.45">
      <c r="A10" s="14" t="s">
        <v>517</v>
      </c>
      <c r="B10" s="15" t="s">
        <v>518</v>
      </c>
    </row>
    <row r="11" spans="1:2" ht="44" customHeight="1" x14ac:dyDescent="0.45">
      <c r="A11" s="14" t="s">
        <v>519</v>
      </c>
      <c r="B11" s="15" t="s">
        <v>520</v>
      </c>
    </row>
    <row r="12" spans="1:2" ht="44" customHeight="1" x14ac:dyDescent="0.45">
      <c r="A12" s="14" t="s">
        <v>521</v>
      </c>
      <c r="B12" s="15" t="s">
        <v>522</v>
      </c>
    </row>
    <row r="14" spans="1:2" ht="22.05" customHeight="1" x14ac:dyDescent="0.45">
      <c r="A14" s="16" t="s">
        <v>523</v>
      </c>
      <c r="B14" s="17"/>
    </row>
    <row r="15" spans="1:2" ht="44" customHeight="1" x14ac:dyDescent="0.45">
      <c r="A15" s="14" t="s">
        <v>524</v>
      </c>
      <c r="B15" s="15" t="s">
        <v>525</v>
      </c>
    </row>
    <row r="16" spans="1:2" ht="44" customHeight="1" x14ac:dyDescent="0.45">
      <c r="A16" s="14" t="s">
        <v>526</v>
      </c>
      <c r="B16" s="15" t="s">
        <v>527</v>
      </c>
    </row>
    <row r="18" spans="1:2" ht="22.05" customHeight="1" x14ac:dyDescent="0.45">
      <c r="A18" s="16" t="s">
        <v>528</v>
      </c>
      <c r="B18" s="17"/>
    </row>
    <row r="19" spans="1:2" ht="44" customHeight="1" x14ac:dyDescent="0.45">
      <c r="A19" s="14" t="s">
        <v>529</v>
      </c>
      <c r="B19" s="15" t="s">
        <v>530</v>
      </c>
    </row>
    <row r="20" spans="1:2" ht="44" customHeight="1" x14ac:dyDescent="0.45">
      <c r="A20" s="14" t="s">
        <v>526</v>
      </c>
      <c r="B20" s="15" t="s">
        <v>531</v>
      </c>
    </row>
    <row r="22" spans="1:2" ht="22.05" customHeight="1" x14ac:dyDescent="0.45">
      <c r="A22" s="16" t="s">
        <v>532</v>
      </c>
      <c r="B22" s="17"/>
    </row>
    <row r="23" spans="1:2" ht="44" customHeight="1" x14ac:dyDescent="0.45">
      <c r="A23" s="14" t="s">
        <v>533</v>
      </c>
      <c r="B23" s="15" t="s">
        <v>534</v>
      </c>
    </row>
    <row r="24" spans="1:2" ht="44" customHeight="1" x14ac:dyDescent="0.45">
      <c r="A24" s="14" t="s">
        <v>526</v>
      </c>
      <c r="B24" s="15" t="s">
        <v>535</v>
      </c>
    </row>
    <row r="25" spans="1:2" ht="44" customHeight="1" x14ac:dyDescent="0.45">
      <c r="A25" s="14" t="s">
        <v>536</v>
      </c>
      <c r="B25" s="15" t="s">
        <v>537</v>
      </c>
    </row>
  </sheetData>
  <mergeCells count="5">
    <mergeCell ref="A7:B7"/>
    <mergeCell ref="A14:B14"/>
    <mergeCell ref="A1:B1"/>
    <mergeCell ref="A18:B18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Establishments</vt:lpstr>
      <vt:lpstr>Singapore_Postal_Lookup</vt:lpstr>
      <vt:lpstr>Japan_Prefecture_Lookup</vt:lpstr>
      <vt:lpstr>Lists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 Digital Systems Architect</cp:lastModifiedBy>
  <dcterms:created xsi:type="dcterms:W3CDTF">2026-07-15T07:17:19Z</dcterms:created>
  <dcterms:modified xsi:type="dcterms:W3CDTF">2026-07-15T08:03:11Z</dcterms:modified>
</cp:coreProperties>
</file>